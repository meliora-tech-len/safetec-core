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fetecpe.sharepoint.com/sites/SAFETECDATA/Shared Documents/THEMBIS/DRIVER WAGES/DRIVERS WAGES 2026/JAN 2026/SAFETEC/"/>
    </mc:Choice>
  </mc:AlternateContent>
  <xr:revisionPtr revIDLastSave="1575" documentId="8_{C1DFDE49-8A58-467F-9FD3-8CC4DBD1E8C8}" xr6:coauthVersionLast="47" xr6:coauthVersionMax="47" xr10:uidLastSave="{8ECA2AF4-C65E-4A1A-8888-34B4D77D1993}"/>
  <bookViews>
    <workbookView xWindow="-108" yWindow="-108" windowWidth="23256" windowHeight="12456" tabRatio="938" firstSheet="26" activeTab="33" xr2:uid="{EE3A8A6A-07E3-4A66-93C1-9E9E5835BEE6}"/>
  </bookViews>
  <sheets>
    <sheet name="SUMMARY" sheetId="2" r:id="rId1"/>
    <sheet name="Aviwe Hoza - TRIBAL" sheetId="126" r:id="rId2"/>
    <sheet name="Ayabulela Mdingi - TRIBAL" sheetId="96" r:id="rId3"/>
    <sheet name="Pieter Hendrikcs" sheetId="105" r:id="rId4"/>
    <sheet name="Randall Bosch" sheetId="88" r:id="rId5"/>
    <sheet name="Johny Jacobs" sheetId="129" r:id="rId6"/>
    <sheet name="Simon Tshidiso Sethunya" sheetId="128" r:id="rId7"/>
    <sheet name="Freek Boss" sheetId="95" r:id="rId8"/>
    <sheet name="Resty Hollander" sheetId="10" r:id="rId9"/>
    <sheet name="Kliffet Williams" sheetId="9" r:id="rId10"/>
    <sheet name="Samuel Domingo" sheetId="79" r:id="rId11"/>
    <sheet name="David Mohapeloa" sheetId="130" r:id="rId12"/>
    <sheet name="Phikane Matiwane" sheetId="83" r:id="rId13"/>
    <sheet name="Miguel Maseka" sheetId="127" r:id="rId14"/>
    <sheet name="Andries Moitsemang Mathe" sheetId="38" r:id="rId15"/>
    <sheet name="Stoffel Sefadi" sheetId="64" r:id="rId16"/>
    <sheet name="Samuel Mmotsi" sheetId="94" r:id="rId17"/>
    <sheet name="Job Dimengu" sheetId="43" r:id="rId18"/>
    <sheet name="Simon Ndlala" sheetId="4" r:id="rId19"/>
    <sheet name="Sam Mahlamba" sheetId="23" r:id="rId20"/>
    <sheet name="Subisiso Silomo" sheetId="19" r:id="rId21"/>
    <sheet name="Papilon Ruwatira Tapiwa" sheetId="93" r:id="rId22"/>
    <sheet name="Abongile Mana" sheetId="7" r:id="rId23"/>
    <sheet name="Roy Setlhare" sheetId="18" r:id="rId24"/>
    <sheet name="L Kambinda" sheetId="3" r:id="rId25"/>
    <sheet name="JACKSON -Kgololo Joseph Mocwane" sheetId="84" r:id="rId26"/>
    <sheet name="Petrus Jacobus pretoruis" sheetId="11" r:id="rId27"/>
    <sheet name=" AUBRY Gaebidiwe" sheetId="99" r:id="rId28"/>
    <sheet name="GERALD CASUAL" sheetId="114" r:id="rId29"/>
    <sheet name="MASKITO CASUAL" sheetId="115" r:id="rId30"/>
    <sheet name="TUMISO CASUAL" sheetId="133" r:id="rId31"/>
    <sheet name="MATHEWS CASUAL" sheetId="134" r:id="rId32"/>
    <sheet name="ADRIAAN CASUAL" sheetId="111" r:id="rId33"/>
    <sheet name="GARTH CASUAL " sheetId="135" r:id="rId34"/>
    <sheet name="JERRY OBHI (BANDEYS) " sheetId="131" r:id="rId35"/>
    <sheet name="ZAMANI OBHI (BANDEYS)" sheetId="132" r:id="rId36"/>
    <sheet name="AMOS OBHI (BANDEYS) " sheetId="136" r:id="rId37"/>
  </sheets>
  <definedNames>
    <definedName name="_xlnm._FilterDatabase" localSheetId="0" hidden="1">SUMMARY!$A$4:$AF$15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9" i="111" l="1"/>
  <c r="G11" i="115"/>
  <c r="F18" i="114"/>
  <c r="T29" i="2" l="1"/>
  <c r="F17" i="114"/>
  <c r="E19" i="115"/>
  <c r="J15" i="3" l="1"/>
  <c r="B20" i="10"/>
  <c r="D25" i="111" l="1"/>
  <c r="C24" i="114"/>
  <c r="D16" i="133" l="1"/>
  <c r="D17" i="115"/>
  <c r="C18" i="114"/>
  <c r="L18" i="79"/>
  <c r="L16" i="79"/>
  <c r="J13" i="99"/>
  <c r="J15" i="11"/>
  <c r="J14" i="84"/>
  <c r="K11" i="111"/>
  <c r="K12" i="111"/>
  <c r="J13" i="18"/>
  <c r="J14" i="7"/>
  <c r="J15" i="93"/>
  <c r="J15" i="19"/>
  <c r="J14" i="23"/>
  <c r="K14" i="4"/>
  <c r="J13" i="43"/>
  <c r="J13" i="94"/>
  <c r="J19" i="64"/>
  <c r="J14" i="38"/>
  <c r="L16" i="127"/>
  <c r="J14" i="83"/>
  <c r="L16" i="130"/>
  <c r="J17" i="135"/>
  <c r="J23" i="115"/>
  <c r="K22" i="115"/>
  <c r="J27" i="114"/>
  <c r="I28" i="114"/>
  <c r="J13" i="9"/>
  <c r="J13" i="10"/>
  <c r="J13" i="95"/>
  <c r="M14" i="128"/>
  <c r="L15" i="129"/>
  <c r="H6" i="134"/>
  <c r="J14" i="88"/>
  <c r="K20" i="133"/>
  <c r="D10" i="133"/>
  <c r="F15" i="135"/>
  <c r="C21" i="135"/>
  <c r="C19" i="135"/>
  <c r="D15" i="115"/>
  <c r="C22" i="114"/>
  <c r="D16" i="134"/>
  <c r="B20" i="88"/>
  <c r="B20" i="9"/>
  <c r="B20" i="79"/>
  <c r="G10" i="133" l="1"/>
  <c r="B20" i="95"/>
  <c r="D11" i="115"/>
  <c r="D4" i="115"/>
  <c r="D5" i="115"/>
  <c r="D6" i="115"/>
  <c r="D3" i="115"/>
  <c r="F22" i="131"/>
  <c r="G22" i="131" s="1"/>
  <c r="C27" i="131"/>
  <c r="C15" i="136"/>
  <c r="H7" i="136"/>
  <c r="I15" i="132"/>
  <c r="H16" i="132"/>
  <c r="J17" i="131"/>
  <c r="C20" i="131"/>
  <c r="J18" i="131"/>
  <c r="C13" i="136"/>
  <c r="C8" i="136"/>
  <c r="I18" i="136"/>
  <c r="I19" i="136"/>
  <c r="C22" i="136"/>
  <c r="D23" i="111"/>
  <c r="Q25" i="111"/>
  <c r="Q27" i="99"/>
  <c r="Q27" i="7"/>
  <c r="Q27" i="23"/>
  <c r="Q25" i="4"/>
  <c r="Q26" i="43"/>
  <c r="S32" i="127"/>
  <c r="S29" i="79"/>
  <c r="C21" i="132"/>
  <c r="S30" i="128"/>
  <c r="S31" i="129"/>
  <c r="C25" i="131"/>
  <c r="R27" i="105"/>
  <c r="D24" i="111"/>
  <c r="B27" i="7"/>
  <c r="B28" i="23"/>
  <c r="B28" i="4"/>
  <c r="B28" i="43"/>
  <c r="B28" i="127"/>
  <c r="B28" i="79"/>
  <c r="B28" i="128"/>
  <c r="B28" i="129"/>
  <c r="K14" i="135"/>
  <c r="N28" i="130"/>
  <c r="C26" i="135"/>
  <c r="C17" i="135" s="1"/>
  <c r="C15" i="135"/>
  <c r="F14" i="135" s="1"/>
  <c r="K20" i="111"/>
  <c r="L15" i="134"/>
  <c r="L14" i="133"/>
  <c r="L13" i="115"/>
  <c r="K13" i="114"/>
  <c r="K22" i="99"/>
  <c r="K30" i="11"/>
  <c r="K23" i="84"/>
  <c r="K21" i="3"/>
  <c r="K20" i="18"/>
  <c r="K22" i="7"/>
  <c r="K24" i="93"/>
  <c r="K22" i="19"/>
  <c r="K22" i="23"/>
  <c r="K20" i="4"/>
  <c r="K20" i="43"/>
  <c r="K21" i="94"/>
  <c r="K25" i="64"/>
  <c r="K22" i="38"/>
  <c r="M25" i="127"/>
  <c r="K23" i="83"/>
  <c r="M24" i="79"/>
  <c r="K22" i="9"/>
  <c r="K21" i="10"/>
  <c r="K21" i="95"/>
  <c r="M25" i="128"/>
  <c r="M25" i="129"/>
  <c r="K21" i="88"/>
  <c r="M22" i="105"/>
  <c r="D25" i="134"/>
  <c r="D14" i="134" s="1"/>
  <c r="D12" i="134"/>
  <c r="D18" i="134" s="1"/>
  <c r="H24" i="134"/>
  <c r="D23" i="133"/>
  <c r="D12" i="133" s="1"/>
  <c r="G9" i="133" l="1"/>
  <c r="F10" i="136"/>
  <c r="G10" i="136" s="1"/>
  <c r="G12" i="134"/>
  <c r="G11" i="134" s="1"/>
  <c r="H25" i="134"/>
  <c r="C32" i="114"/>
  <c r="K24" i="132" l="1"/>
  <c r="C30" i="132"/>
  <c r="I27" i="132"/>
  <c r="I26" i="132"/>
  <c r="C16" i="132"/>
  <c r="C23" i="132" s="1"/>
  <c r="K25" i="131"/>
  <c r="C34" i="131"/>
  <c r="I31" i="131"/>
  <c r="I30" i="131"/>
  <c r="K29" i="2"/>
  <c r="I29" i="2"/>
  <c r="B26" i="130"/>
  <c r="H25" i="130"/>
  <c r="G22" i="130"/>
  <c r="H21" i="130"/>
  <c r="H17" i="130"/>
  <c r="H13" i="130"/>
  <c r="C11" i="130"/>
  <c r="B11" i="130"/>
  <c r="C10" i="130"/>
  <c r="B15" i="130" s="1"/>
  <c r="B10" i="130"/>
  <c r="H9" i="130"/>
  <c r="D9" i="130"/>
  <c r="B20" i="130" s="1"/>
  <c r="J29" i="2" s="1"/>
  <c r="B7" i="130"/>
  <c r="B16" i="130" s="1"/>
  <c r="H29" i="2" s="1"/>
  <c r="G6" i="130"/>
  <c r="G26" i="130" s="1"/>
  <c r="H5" i="130"/>
  <c r="C7" i="130" s="1"/>
  <c r="B5" i="130"/>
  <c r="T28" i="2"/>
  <c r="K28" i="2"/>
  <c r="B26" i="129"/>
  <c r="H25" i="129"/>
  <c r="G22" i="129"/>
  <c r="H21" i="129"/>
  <c r="H17" i="129"/>
  <c r="G14" i="129"/>
  <c r="H13" i="129"/>
  <c r="C11" i="129"/>
  <c r="B11" i="129"/>
  <c r="C10" i="129"/>
  <c r="B10" i="129"/>
  <c r="H9" i="129"/>
  <c r="D9" i="129"/>
  <c r="B20" i="129" s="1"/>
  <c r="J28" i="2" s="1"/>
  <c r="B7" i="129"/>
  <c r="G6" i="129"/>
  <c r="G26" i="129" s="1"/>
  <c r="H5" i="129"/>
  <c r="C7" i="129" s="1"/>
  <c r="B5" i="129"/>
  <c r="T27" i="2"/>
  <c r="B26" i="128"/>
  <c r="K27" i="2" s="1"/>
  <c r="H25" i="128"/>
  <c r="G22" i="128"/>
  <c r="H21" i="128"/>
  <c r="H17" i="128"/>
  <c r="H13" i="128"/>
  <c r="C11" i="128"/>
  <c r="B11" i="128"/>
  <c r="C10" i="128"/>
  <c r="B15" i="128" s="1"/>
  <c r="I27" i="2" s="1"/>
  <c r="B10" i="128"/>
  <c r="H9" i="128"/>
  <c r="D9" i="128"/>
  <c r="B20" i="128" s="1"/>
  <c r="J27" i="2" s="1"/>
  <c r="B7" i="128"/>
  <c r="G6" i="128"/>
  <c r="G26" i="128" s="1"/>
  <c r="H5" i="128"/>
  <c r="C7" i="128" s="1"/>
  <c r="B5" i="128"/>
  <c r="T26" i="2"/>
  <c r="K26" i="2"/>
  <c r="G26" i="127"/>
  <c r="B26" i="127"/>
  <c r="H25" i="127"/>
  <c r="G22" i="127"/>
  <c r="H21" i="127"/>
  <c r="G18" i="127"/>
  <c r="H17" i="127"/>
  <c r="G14" i="127"/>
  <c r="H13" i="127"/>
  <c r="C11" i="127"/>
  <c r="B11" i="127"/>
  <c r="C10" i="127"/>
  <c r="B10" i="127"/>
  <c r="H9" i="127"/>
  <c r="D9" i="127"/>
  <c r="B20" i="127" s="1"/>
  <c r="J26" i="2" s="1"/>
  <c r="C7" i="127"/>
  <c r="B7" i="127"/>
  <c r="G6" i="127"/>
  <c r="G10" i="127" s="1"/>
  <c r="H5" i="127"/>
  <c r="H6" i="127" s="1"/>
  <c r="B5" i="127"/>
  <c r="B26" i="126"/>
  <c r="H25" i="126"/>
  <c r="G22" i="126"/>
  <c r="H21" i="126"/>
  <c r="B20" i="126"/>
  <c r="H17" i="126"/>
  <c r="G14" i="126"/>
  <c r="H13" i="126"/>
  <c r="C11" i="126"/>
  <c r="B11" i="126"/>
  <c r="C10" i="126"/>
  <c r="B10" i="126"/>
  <c r="H9" i="126"/>
  <c r="D9" i="126"/>
  <c r="B7" i="126"/>
  <c r="G6" i="126"/>
  <c r="G26" i="126" s="1"/>
  <c r="H5" i="126"/>
  <c r="C7" i="126" s="1"/>
  <c r="B16" i="126" s="1"/>
  <c r="B5" i="126"/>
  <c r="B15" i="127" l="1"/>
  <c r="I26" i="2" s="1"/>
  <c r="B16" i="128"/>
  <c r="H27" i="2" s="1"/>
  <c r="F18" i="132"/>
  <c r="G18" i="132" s="1"/>
  <c r="B15" i="126"/>
  <c r="B16" i="127"/>
  <c r="H26" i="2" s="1"/>
  <c r="B15" i="129"/>
  <c r="I28" i="2" s="1"/>
  <c r="G14" i="130"/>
  <c r="H6" i="130"/>
  <c r="G18" i="130"/>
  <c r="G10" i="130"/>
  <c r="B16" i="129"/>
  <c r="H28" i="2" s="1"/>
  <c r="G10" i="129"/>
  <c r="H6" i="129"/>
  <c r="G18" i="129"/>
  <c r="G14" i="128"/>
  <c r="H6" i="128"/>
  <c r="G18" i="128"/>
  <c r="G10" i="128"/>
  <c r="H26" i="127"/>
  <c r="H18" i="127"/>
  <c r="H10" i="127"/>
  <c r="H22" i="127"/>
  <c r="H14" i="127"/>
  <c r="G10" i="126"/>
  <c r="H6" i="126"/>
  <c r="G18" i="126"/>
  <c r="H26" i="130" l="1"/>
  <c r="H18" i="130"/>
  <c r="H14" i="130"/>
  <c r="H10" i="130"/>
  <c r="H22" i="130"/>
  <c r="H26" i="129"/>
  <c r="H18" i="129"/>
  <c r="H10" i="129"/>
  <c r="H14" i="129"/>
  <c r="H22" i="129"/>
  <c r="H26" i="128"/>
  <c r="H18" i="128"/>
  <c r="H14" i="128"/>
  <c r="H22" i="128"/>
  <c r="H10" i="128"/>
  <c r="H26" i="126"/>
  <c r="H18" i="126"/>
  <c r="H14" i="126"/>
  <c r="H10" i="126"/>
  <c r="H22" i="126"/>
  <c r="D19" i="111" l="1"/>
  <c r="D9" i="3"/>
  <c r="B20" i="3" s="1"/>
  <c r="C7" i="96" l="1"/>
  <c r="B5" i="96"/>
  <c r="H24" i="115"/>
  <c r="C20" i="114" l="1"/>
  <c r="D9" i="11"/>
  <c r="B20" i="11" s="1"/>
  <c r="B26" i="83" l="1"/>
  <c r="D34" i="111" l="1"/>
  <c r="D21" i="111" s="1"/>
  <c r="B26" i="95" l="1"/>
  <c r="D23" i="115" l="1"/>
  <c r="D13" i="115" s="1"/>
  <c r="B26" i="10"/>
  <c r="B26" i="105" l="1"/>
  <c r="B26" i="3" l="1"/>
  <c r="B26" i="18"/>
  <c r="B26" i="7"/>
  <c r="B26" i="93"/>
  <c r="B26" i="96"/>
  <c r="B20" i="96"/>
  <c r="B26" i="19"/>
  <c r="B26" i="23"/>
  <c r="B26" i="43"/>
  <c r="B26" i="94"/>
  <c r="B26" i="64"/>
  <c r="B26" i="38"/>
  <c r="B26" i="11"/>
  <c r="B26" i="84"/>
  <c r="B26" i="4"/>
  <c r="B26" i="79"/>
  <c r="B26" i="99"/>
  <c r="B26" i="9"/>
  <c r="B26" i="88"/>
  <c r="K24" i="2" l="1"/>
  <c r="G10" i="115" l="1"/>
  <c r="H25" i="115"/>
  <c r="G18" i="111" l="1"/>
  <c r="H5" i="99" l="1"/>
  <c r="C7" i="99"/>
  <c r="B7" i="99"/>
  <c r="B5" i="99" l="1"/>
  <c r="C10" i="96" l="1"/>
  <c r="T25" i="2"/>
  <c r="K25" i="2"/>
  <c r="J25" i="2"/>
  <c r="H25" i="105"/>
  <c r="H21" i="105"/>
  <c r="H17" i="105"/>
  <c r="H13" i="105"/>
  <c r="C11" i="105"/>
  <c r="B11" i="105"/>
  <c r="C10" i="105"/>
  <c r="B15" i="105" s="1"/>
  <c r="B10" i="105"/>
  <c r="H9" i="105"/>
  <c r="D9" i="105"/>
  <c r="B7" i="105"/>
  <c r="G6" i="105"/>
  <c r="G26" i="105" s="1"/>
  <c r="H5" i="105"/>
  <c r="H6" i="105" s="1"/>
  <c r="B5" i="105"/>
  <c r="C11" i="79"/>
  <c r="C11" i="18"/>
  <c r="C11" i="38"/>
  <c r="C11" i="64"/>
  <c r="C11" i="94"/>
  <c r="C11" i="4"/>
  <c r="C11" i="43"/>
  <c r="C11" i="23"/>
  <c r="C7" i="105" l="1"/>
  <c r="B16" i="105" s="1"/>
  <c r="H25" i="2" s="1"/>
  <c r="G18" i="105"/>
  <c r="I25" i="2"/>
  <c r="H26" i="105"/>
  <c r="H10" i="105"/>
  <c r="H18" i="105"/>
  <c r="H22" i="105"/>
  <c r="H14" i="105"/>
  <c r="G14" i="105"/>
  <c r="G22" i="105"/>
  <c r="G10" i="105"/>
  <c r="C11" i="19"/>
  <c r="H13" i="96" l="1"/>
  <c r="H5" i="96"/>
  <c r="L1" i="2" l="1"/>
  <c r="D29" i="2" l="1"/>
  <c r="G29" i="2"/>
  <c r="N29" i="2"/>
  <c r="P29" i="2"/>
  <c r="E29" i="2"/>
  <c r="S29" i="2"/>
  <c r="R29" i="2"/>
  <c r="F29" i="2"/>
  <c r="Q29" i="2"/>
  <c r="O29" i="2"/>
  <c r="D5" i="2"/>
  <c r="D28" i="2"/>
  <c r="O27" i="2"/>
  <c r="F27" i="2"/>
  <c r="P26" i="2"/>
  <c r="G26" i="2"/>
  <c r="N27" i="2"/>
  <c r="O26" i="2"/>
  <c r="E26" i="2"/>
  <c r="D26" i="2"/>
  <c r="S28" i="2"/>
  <c r="R28" i="2"/>
  <c r="Q28" i="2"/>
  <c r="P28" i="2"/>
  <c r="G28" i="2"/>
  <c r="R27" i="2"/>
  <c r="S26" i="2"/>
  <c r="S27" i="2"/>
  <c r="O28" i="2"/>
  <c r="F28" i="2"/>
  <c r="Q27" i="2"/>
  <c r="R26" i="2"/>
  <c r="D27" i="2"/>
  <c r="N28" i="2"/>
  <c r="E28" i="2"/>
  <c r="P27" i="2"/>
  <c r="G27" i="2"/>
  <c r="Q26" i="2"/>
  <c r="E27" i="2"/>
  <c r="F26" i="2"/>
  <c r="N26" i="2"/>
  <c r="O25" i="2"/>
  <c r="P25" i="2"/>
  <c r="Q25" i="2"/>
  <c r="D25" i="2"/>
  <c r="R25" i="2"/>
  <c r="E25" i="2"/>
  <c r="S25" i="2"/>
  <c r="F25" i="2"/>
  <c r="G25" i="2"/>
  <c r="N25" i="2"/>
  <c r="T24" i="2"/>
  <c r="D24" i="2"/>
  <c r="E24" i="2"/>
  <c r="F24" i="2"/>
  <c r="G24" i="2"/>
  <c r="N24" i="2"/>
  <c r="O24" i="2"/>
  <c r="P24" i="2"/>
  <c r="Q24" i="2"/>
  <c r="R24" i="2"/>
  <c r="S24" i="2"/>
  <c r="H26" i="99"/>
  <c r="H22" i="99"/>
  <c r="H17" i="99"/>
  <c r="H13" i="99"/>
  <c r="C11" i="99"/>
  <c r="B11" i="99"/>
  <c r="C10" i="99"/>
  <c r="B10" i="99"/>
  <c r="H9" i="99"/>
  <c r="D9" i="99"/>
  <c r="G6" i="99"/>
  <c r="G27" i="99" s="1"/>
  <c r="L27" i="2" l="1"/>
  <c r="AA27" i="2" s="1"/>
  <c r="L29" i="2"/>
  <c r="AA29" i="2" s="1"/>
  <c r="L28" i="2"/>
  <c r="AA28" i="2" s="1"/>
  <c r="L26" i="2"/>
  <c r="AA26" i="2" s="1"/>
  <c r="B20" i="99"/>
  <c r="J24" i="2" s="1"/>
  <c r="B15" i="99"/>
  <c r="I24" i="2" s="1"/>
  <c r="B16" i="99"/>
  <c r="H24" i="2" s="1"/>
  <c r="G14" i="99"/>
  <c r="G18" i="99"/>
  <c r="L25" i="2"/>
  <c r="AA25" i="2" s="1"/>
  <c r="H6" i="99"/>
  <c r="H10" i="99" s="1"/>
  <c r="G23" i="99"/>
  <c r="G10" i="99"/>
  <c r="L24" i="2" l="1"/>
  <c r="AA24" i="2" s="1"/>
  <c r="H18" i="99"/>
  <c r="H27" i="99"/>
  <c r="H23" i="99"/>
  <c r="H14" i="99"/>
  <c r="B5" i="18"/>
  <c r="H25" i="96" l="1"/>
  <c r="H21" i="96"/>
  <c r="H17" i="96"/>
  <c r="C11" i="96"/>
  <c r="B16" i="96" s="1"/>
  <c r="B11" i="96"/>
  <c r="B10" i="96"/>
  <c r="B15" i="96" s="1"/>
  <c r="H9" i="96"/>
  <c r="D9" i="96"/>
  <c r="B7" i="96"/>
  <c r="H6" i="96"/>
  <c r="H26" i="96" s="1"/>
  <c r="G6" i="96"/>
  <c r="G26" i="96" s="1"/>
  <c r="T23" i="2"/>
  <c r="K23" i="2"/>
  <c r="T22" i="2"/>
  <c r="K22" i="2"/>
  <c r="H25" i="95"/>
  <c r="H21" i="95"/>
  <c r="H17" i="95"/>
  <c r="H13" i="95"/>
  <c r="C11" i="95"/>
  <c r="B11" i="95"/>
  <c r="C10" i="95"/>
  <c r="B10" i="95"/>
  <c r="H9" i="95"/>
  <c r="D9" i="95"/>
  <c r="B7" i="95"/>
  <c r="G6" i="95"/>
  <c r="G10" i="95" s="1"/>
  <c r="H5" i="95"/>
  <c r="H6" i="95" s="1"/>
  <c r="B5" i="95"/>
  <c r="H25" i="94"/>
  <c r="H21" i="94"/>
  <c r="H17" i="94"/>
  <c r="H13" i="94"/>
  <c r="B11" i="94"/>
  <c r="C10" i="94"/>
  <c r="B10" i="94"/>
  <c r="H9" i="94"/>
  <c r="D9" i="94"/>
  <c r="B20" i="94" s="1"/>
  <c r="B7" i="94"/>
  <c r="G6" i="94"/>
  <c r="G26" i="94" s="1"/>
  <c r="H5" i="94"/>
  <c r="C7" i="94" s="1"/>
  <c r="B5" i="94"/>
  <c r="D9" i="88"/>
  <c r="T21" i="2"/>
  <c r="K21" i="2"/>
  <c r="H25" i="93"/>
  <c r="H21" i="93"/>
  <c r="H17" i="93"/>
  <c r="H13" i="93"/>
  <c r="C11" i="93"/>
  <c r="B11" i="93"/>
  <c r="C10" i="93"/>
  <c r="B10" i="93"/>
  <c r="H9" i="93"/>
  <c r="D9" i="93"/>
  <c r="B20" i="93" s="1"/>
  <c r="B7" i="93"/>
  <c r="G6" i="93"/>
  <c r="G26" i="93" s="1"/>
  <c r="H5" i="93"/>
  <c r="C7" i="93" s="1"/>
  <c r="B5" i="93"/>
  <c r="G14" i="93" l="1"/>
  <c r="J21" i="2"/>
  <c r="G22" i="93"/>
  <c r="B16" i="94"/>
  <c r="H22" i="2" s="1"/>
  <c r="H6" i="94"/>
  <c r="H14" i="94" s="1"/>
  <c r="J22" i="2"/>
  <c r="H26" i="95"/>
  <c r="C7" i="95"/>
  <c r="B16" i="95" s="1"/>
  <c r="H23" i="2" s="1"/>
  <c r="G18" i="95"/>
  <c r="J23" i="2"/>
  <c r="B16" i="93"/>
  <c r="H21" i="2" s="1"/>
  <c r="B15" i="94"/>
  <c r="I22" i="2" s="1"/>
  <c r="B15" i="95"/>
  <c r="I23" i="2" s="1"/>
  <c r="B15" i="93"/>
  <c r="I21" i="2" s="1"/>
  <c r="H10" i="96"/>
  <c r="G18" i="96"/>
  <c r="G10" i="96"/>
  <c r="H18" i="96"/>
  <c r="G22" i="96"/>
  <c r="H22" i="96"/>
  <c r="G14" i="96"/>
  <c r="H14" i="96"/>
  <c r="G22" i="95"/>
  <c r="H10" i="95"/>
  <c r="G14" i="95"/>
  <c r="H22" i="95"/>
  <c r="H14" i="95"/>
  <c r="H18" i="95"/>
  <c r="G26" i="95"/>
  <c r="H26" i="94"/>
  <c r="H18" i="94"/>
  <c r="G10" i="94"/>
  <c r="G18" i="94"/>
  <c r="G22" i="94"/>
  <c r="H10" i="94"/>
  <c r="G14" i="94"/>
  <c r="H22" i="94"/>
  <c r="H6" i="93"/>
  <c r="G10" i="93"/>
  <c r="G18" i="93"/>
  <c r="H26" i="93" l="1"/>
  <c r="H18" i="93"/>
  <c r="H14" i="93"/>
  <c r="H10" i="93"/>
  <c r="H22" i="93"/>
  <c r="B5" i="7" l="1"/>
  <c r="B5" i="23" l="1"/>
  <c r="T20" i="2" l="1"/>
  <c r="K20" i="2"/>
  <c r="J20" i="2"/>
  <c r="H25" i="88"/>
  <c r="H21" i="88"/>
  <c r="H17" i="88"/>
  <c r="H13" i="88"/>
  <c r="C11" i="88"/>
  <c r="B11" i="88"/>
  <c r="C10" i="88"/>
  <c r="B15" i="88" s="1"/>
  <c r="B10" i="88"/>
  <c r="H9" i="88"/>
  <c r="B7" i="88"/>
  <c r="G6" i="88"/>
  <c r="G26" i="88" s="1"/>
  <c r="H5" i="88"/>
  <c r="C7" i="88" s="1"/>
  <c r="B5" i="88"/>
  <c r="B16" i="88" l="1"/>
  <c r="H20" i="2" s="1"/>
  <c r="N20" i="2"/>
  <c r="N22" i="2"/>
  <c r="F23" i="2"/>
  <c r="G21" i="2"/>
  <c r="P22" i="2"/>
  <c r="O21" i="2"/>
  <c r="D22" i="2"/>
  <c r="E23" i="2"/>
  <c r="O22" i="2"/>
  <c r="G23" i="2"/>
  <c r="N21" i="2"/>
  <c r="N23" i="2"/>
  <c r="P23" i="2"/>
  <c r="Q21" i="2"/>
  <c r="F21" i="2"/>
  <c r="Q22" i="2"/>
  <c r="O23" i="2"/>
  <c r="P21" i="2"/>
  <c r="R22" i="2"/>
  <c r="S23" i="2"/>
  <c r="E22" i="2"/>
  <c r="S22" i="2"/>
  <c r="Q23" i="2"/>
  <c r="D21" i="2"/>
  <c r="R21" i="2"/>
  <c r="F22" i="2"/>
  <c r="D23" i="2"/>
  <c r="R23" i="2"/>
  <c r="E21" i="2"/>
  <c r="S21" i="2"/>
  <c r="G22" i="2"/>
  <c r="G20" i="2"/>
  <c r="F20" i="2"/>
  <c r="H6" i="88"/>
  <c r="H26" i="88" s="1"/>
  <c r="O20" i="2"/>
  <c r="I20" i="2"/>
  <c r="D20" i="2"/>
  <c r="E20" i="2"/>
  <c r="R20" i="2"/>
  <c r="S20" i="2"/>
  <c r="Q20" i="2"/>
  <c r="P20" i="2"/>
  <c r="G14" i="88"/>
  <c r="G18" i="88"/>
  <c r="G22" i="88"/>
  <c r="G10" i="88"/>
  <c r="H10" i="88" l="1"/>
  <c r="H22" i="88"/>
  <c r="L23" i="2"/>
  <c r="AA23" i="2" s="1"/>
  <c r="L22" i="2"/>
  <c r="AA22" i="2" s="1"/>
  <c r="L21" i="2"/>
  <c r="AA21" i="2" s="1"/>
  <c r="H14" i="88"/>
  <c r="H18" i="88"/>
  <c r="L20" i="2"/>
  <c r="AA20" i="2" s="1"/>
  <c r="T19" i="2" l="1"/>
  <c r="K19" i="2"/>
  <c r="T18" i="2"/>
  <c r="K18" i="2"/>
  <c r="H25" i="84"/>
  <c r="G22" i="84"/>
  <c r="H21" i="84"/>
  <c r="G18" i="84"/>
  <c r="H17" i="84"/>
  <c r="H13" i="84"/>
  <c r="C11" i="84"/>
  <c r="B11" i="84"/>
  <c r="C10" i="84"/>
  <c r="B10" i="84"/>
  <c r="H9" i="84"/>
  <c r="D9" i="84"/>
  <c r="B20" i="84" s="1"/>
  <c r="B7" i="84"/>
  <c r="G6" i="84"/>
  <c r="G26" i="84" s="1"/>
  <c r="H5" i="84"/>
  <c r="C7" i="84" s="1"/>
  <c r="B5" i="84"/>
  <c r="H25" i="83"/>
  <c r="H21" i="83"/>
  <c r="H17" i="83"/>
  <c r="H13" i="83"/>
  <c r="C11" i="83"/>
  <c r="B11" i="83"/>
  <c r="C10" i="83"/>
  <c r="B10" i="83"/>
  <c r="H9" i="83"/>
  <c r="D9" i="83"/>
  <c r="B20" i="83" s="1"/>
  <c r="B7" i="83"/>
  <c r="G6" i="83"/>
  <c r="G10" i="83" s="1"/>
  <c r="H5" i="83"/>
  <c r="C7" i="83" s="1"/>
  <c r="B5" i="83"/>
  <c r="D18" i="2"/>
  <c r="E18" i="2"/>
  <c r="F18" i="2"/>
  <c r="G18" i="2"/>
  <c r="N18" i="2"/>
  <c r="O18" i="2"/>
  <c r="P18" i="2"/>
  <c r="Q18" i="2"/>
  <c r="R18" i="2"/>
  <c r="S18" i="2"/>
  <c r="D19" i="2"/>
  <c r="E19" i="2"/>
  <c r="F19" i="2"/>
  <c r="G19" i="2"/>
  <c r="N19" i="2"/>
  <c r="O19" i="2"/>
  <c r="P19" i="2"/>
  <c r="Q19" i="2"/>
  <c r="R19" i="2"/>
  <c r="S19" i="2"/>
  <c r="C11" i="3"/>
  <c r="B11" i="3"/>
  <c r="C10" i="3"/>
  <c r="B10" i="3"/>
  <c r="B7" i="3"/>
  <c r="B5" i="3"/>
  <c r="C11" i="10"/>
  <c r="B11" i="10"/>
  <c r="C10" i="10"/>
  <c r="B10" i="10"/>
  <c r="D9" i="10"/>
  <c r="B7" i="10"/>
  <c r="B5" i="10"/>
  <c r="B11" i="23"/>
  <c r="C10" i="23"/>
  <c r="B10" i="23"/>
  <c r="D9" i="23"/>
  <c r="B20" i="23" s="1"/>
  <c r="B7" i="23"/>
  <c r="B11" i="38"/>
  <c r="C10" i="38"/>
  <c r="B10" i="38"/>
  <c r="D9" i="38"/>
  <c r="B20" i="38" s="1"/>
  <c r="B7" i="38"/>
  <c r="B5" i="38"/>
  <c r="B11" i="64"/>
  <c r="C10" i="64"/>
  <c r="B10" i="64"/>
  <c r="D9" i="64"/>
  <c r="B20" i="64" s="1"/>
  <c r="B7" i="64"/>
  <c r="B5" i="64"/>
  <c r="B15" i="84" l="1"/>
  <c r="I19" i="2" s="1"/>
  <c r="G14" i="84"/>
  <c r="J19" i="2"/>
  <c r="J18" i="2"/>
  <c r="B16" i="83"/>
  <c r="H18" i="2" s="1"/>
  <c r="H6" i="83"/>
  <c r="H22" i="83" s="1"/>
  <c r="B16" i="84"/>
  <c r="H19" i="2" s="1"/>
  <c r="H6" i="84"/>
  <c r="H22" i="84" s="1"/>
  <c r="B15" i="64"/>
  <c r="B15" i="83"/>
  <c r="I18" i="2" s="1"/>
  <c r="G10" i="84"/>
  <c r="G18" i="83"/>
  <c r="G22" i="83"/>
  <c r="G26" i="83"/>
  <c r="G14" i="83"/>
  <c r="B15" i="38"/>
  <c r="B15" i="10"/>
  <c r="B15" i="23"/>
  <c r="B15" i="3"/>
  <c r="T17" i="2"/>
  <c r="K17" i="2"/>
  <c r="H25" i="79"/>
  <c r="H21" i="79"/>
  <c r="H17" i="79"/>
  <c r="H13" i="79"/>
  <c r="B11" i="79"/>
  <c r="C10" i="79"/>
  <c r="B10" i="79"/>
  <c r="H9" i="79"/>
  <c r="D9" i="79"/>
  <c r="B7" i="79"/>
  <c r="G6" i="79"/>
  <c r="G18" i="79" s="1"/>
  <c r="H5" i="79"/>
  <c r="C7" i="79" s="1"/>
  <c r="B5" i="79"/>
  <c r="H14" i="84" l="1"/>
  <c r="L19" i="2"/>
  <c r="AA19" i="2" s="1"/>
  <c r="G14" i="79"/>
  <c r="J17" i="2"/>
  <c r="B16" i="79"/>
  <c r="H17" i="2" s="1"/>
  <c r="H26" i="83"/>
  <c r="H10" i="83"/>
  <c r="H14" i="83"/>
  <c r="H18" i="84"/>
  <c r="H26" i="84"/>
  <c r="H10" i="84"/>
  <c r="H18" i="83"/>
  <c r="L18" i="2"/>
  <c r="AA18" i="2" s="1"/>
  <c r="H6" i="79"/>
  <c r="H14" i="79" s="1"/>
  <c r="B15" i="79"/>
  <c r="I17" i="2" s="1"/>
  <c r="G22" i="79"/>
  <c r="G10" i="79"/>
  <c r="G26" i="79"/>
  <c r="H26" i="79" l="1"/>
  <c r="H18" i="79"/>
  <c r="H10" i="79"/>
  <c r="H22" i="79"/>
  <c r="H32" i="3"/>
  <c r="W1" i="2" l="1"/>
  <c r="T16" i="2" l="1"/>
  <c r="K16" i="2"/>
  <c r="J16" i="2"/>
  <c r="H25" i="64"/>
  <c r="H21" i="64"/>
  <c r="H17" i="64"/>
  <c r="H13" i="64"/>
  <c r="H9" i="64"/>
  <c r="G6" i="64"/>
  <c r="G18" i="64" s="1"/>
  <c r="H5" i="64"/>
  <c r="C7" i="64" s="1"/>
  <c r="B16" i="64" s="1"/>
  <c r="I16" i="2" l="1"/>
  <c r="H16" i="2"/>
  <c r="G22" i="64"/>
  <c r="G14" i="64"/>
  <c r="G10" i="64"/>
  <c r="G26" i="64"/>
  <c r="H6" i="64"/>
  <c r="H18" i="64" l="1"/>
  <c r="H26" i="64"/>
  <c r="H10" i="64"/>
  <c r="H22" i="64"/>
  <c r="H14" i="64"/>
  <c r="K14" i="2" l="1"/>
  <c r="K11" i="2"/>
  <c r="K6" i="2"/>
  <c r="K8" i="2" l="1"/>
  <c r="K9" i="2"/>
  <c r="K15" i="2"/>
  <c r="K13" i="2"/>
  <c r="K12" i="2"/>
  <c r="K10" i="2"/>
  <c r="K7" i="2"/>
  <c r="K5" i="2"/>
  <c r="H5" i="7"/>
  <c r="C7" i="7" s="1"/>
  <c r="C11" i="7"/>
  <c r="K30" i="2" l="1"/>
  <c r="C11" i="9"/>
  <c r="B11" i="9"/>
  <c r="C10" i="9"/>
  <c r="B10" i="9"/>
  <c r="B7" i="9"/>
  <c r="B5" i="9"/>
  <c r="H25" i="9"/>
  <c r="G22" i="9"/>
  <c r="H21" i="9"/>
  <c r="H17" i="9"/>
  <c r="H13" i="9"/>
  <c r="H9" i="9"/>
  <c r="G6" i="9"/>
  <c r="G26" i="9" s="1"/>
  <c r="H5" i="9"/>
  <c r="H6" i="9" s="1"/>
  <c r="H25" i="10"/>
  <c r="H21" i="10"/>
  <c r="H17" i="10"/>
  <c r="H13" i="10"/>
  <c r="H9" i="10"/>
  <c r="G6" i="10"/>
  <c r="G26" i="10" s="1"/>
  <c r="H5" i="10"/>
  <c r="C7" i="10" s="1"/>
  <c r="B16" i="10" s="1"/>
  <c r="H25" i="4"/>
  <c r="H21" i="4"/>
  <c r="H17" i="4"/>
  <c r="H13" i="4"/>
  <c r="H9" i="4"/>
  <c r="G6" i="4"/>
  <c r="G10" i="4" s="1"/>
  <c r="H5" i="4"/>
  <c r="H6" i="4" s="1"/>
  <c r="B11" i="4"/>
  <c r="C10" i="4"/>
  <c r="B10" i="4"/>
  <c r="B7" i="4"/>
  <c r="B5" i="4"/>
  <c r="B11" i="7"/>
  <c r="C10" i="7"/>
  <c r="B10" i="7"/>
  <c r="B7" i="7"/>
  <c r="H25" i="7"/>
  <c r="H21" i="7"/>
  <c r="H17" i="7"/>
  <c r="H13" i="7"/>
  <c r="H9" i="7"/>
  <c r="H6" i="7"/>
  <c r="H26" i="7" s="1"/>
  <c r="G6" i="7"/>
  <c r="G26" i="7" s="1"/>
  <c r="H25" i="23"/>
  <c r="H21" i="23"/>
  <c r="H17" i="23"/>
  <c r="H13" i="23"/>
  <c r="H9" i="23"/>
  <c r="G6" i="23"/>
  <c r="G26" i="23" s="1"/>
  <c r="H5" i="23"/>
  <c r="C7" i="23" s="1"/>
  <c r="B16" i="23" s="1"/>
  <c r="H25" i="38"/>
  <c r="H21" i="38"/>
  <c r="H17" i="38"/>
  <c r="H13" i="38"/>
  <c r="H9" i="38"/>
  <c r="G6" i="38"/>
  <c r="G26" i="38" s="1"/>
  <c r="H5" i="38"/>
  <c r="C7" i="38" s="1"/>
  <c r="B16" i="38" s="1"/>
  <c r="B11" i="18"/>
  <c r="C10" i="18"/>
  <c r="B15" i="18" s="1"/>
  <c r="B10" i="18"/>
  <c r="B7" i="18"/>
  <c r="H25" i="18"/>
  <c r="H21" i="18"/>
  <c r="H17" i="18"/>
  <c r="H13" i="18"/>
  <c r="H9" i="18"/>
  <c r="G6" i="18"/>
  <c r="G10" i="18" s="1"/>
  <c r="H5" i="18"/>
  <c r="C7" i="18" s="1"/>
  <c r="H25" i="19"/>
  <c r="H21" i="19"/>
  <c r="H17" i="19"/>
  <c r="H13" i="19"/>
  <c r="H9" i="19"/>
  <c r="G6" i="19"/>
  <c r="G26" i="19" s="1"/>
  <c r="H5" i="19"/>
  <c r="H6" i="19" s="1"/>
  <c r="H26" i="19" s="1"/>
  <c r="B5" i="19"/>
  <c r="B11" i="19"/>
  <c r="C10" i="19"/>
  <c r="B10" i="19"/>
  <c r="B7" i="19"/>
  <c r="H25" i="11"/>
  <c r="H21" i="11"/>
  <c r="H17" i="11"/>
  <c r="H13" i="11"/>
  <c r="H9" i="11"/>
  <c r="G6" i="11"/>
  <c r="G26" i="11" s="1"/>
  <c r="H5" i="11"/>
  <c r="H6" i="11" s="1"/>
  <c r="C11" i="11"/>
  <c r="B11" i="11"/>
  <c r="C10" i="11"/>
  <c r="B10" i="11"/>
  <c r="B7" i="11"/>
  <c r="B5" i="11"/>
  <c r="H25" i="3"/>
  <c r="H21" i="3"/>
  <c r="H17" i="3"/>
  <c r="H13" i="3"/>
  <c r="H9" i="3"/>
  <c r="G6" i="3"/>
  <c r="G26" i="3" s="1"/>
  <c r="H5" i="3"/>
  <c r="C7" i="3" s="1"/>
  <c r="B16" i="3" s="1"/>
  <c r="C10" i="43"/>
  <c r="H25" i="43"/>
  <c r="H21" i="43"/>
  <c r="H17" i="43"/>
  <c r="H13" i="43"/>
  <c r="H9" i="43"/>
  <c r="H5" i="43"/>
  <c r="C7" i="43" s="1"/>
  <c r="B5" i="43"/>
  <c r="B16" i="7" l="1"/>
  <c r="G14" i="18"/>
  <c r="G10" i="7"/>
  <c r="G18" i="7"/>
  <c r="B15" i="11"/>
  <c r="B15" i="4"/>
  <c r="G10" i="9"/>
  <c r="G18" i="9"/>
  <c r="G26" i="18"/>
  <c r="B16" i="11"/>
  <c r="B16" i="18"/>
  <c r="C7" i="9"/>
  <c r="H26" i="9"/>
  <c r="B16" i="9"/>
  <c r="G22" i="10"/>
  <c r="H6" i="10"/>
  <c r="H26" i="10" s="1"/>
  <c r="G10" i="10"/>
  <c r="G18" i="10"/>
  <c r="H6" i="23"/>
  <c r="H14" i="23" s="1"/>
  <c r="H26" i="11"/>
  <c r="C7" i="11"/>
  <c r="G22" i="11"/>
  <c r="G18" i="11"/>
  <c r="G10" i="11"/>
  <c r="N17" i="2"/>
  <c r="O17" i="2"/>
  <c r="P17" i="2"/>
  <c r="R17" i="2"/>
  <c r="S17" i="2"/>
  <c r="Q17" i="2"/>
  <c r="D17" i="2"/>
  <c r="E17" i="2"/>
  <c r="F17" i="2"/>
  <c r="G17" i="2"/>
  <c r="N16" i="2"/>
  <c r="F16" i="2"/>
  <c r="S16" i="2"/>
  <c r="D16" i="2"/>
  <c r="Q16" i="2"/>
  <c r="O16" i="2"/>
  <c r="G16" i="2"/>
  <c r="E16" i="2"/>
  <c r="R16" i="2"/>
  <c r="P16" i="2"/>
  <c r="G18" i="19"/>
  <c r="H6" i="3"/>
  <c r="H14" i="3" s="1"/>
  <c r="G22" i="19"/>
  <c r="C7" i="19"/>
  <c r="B16" i="19" s="1"/>
  <c r="G10" i="19"/>
  <c r="C7" i="4"/>
  <c r="B16" i="4" s="1"/>
  <c r="H6" i="38"/>
  <c r="H26" i="38" s="1"/>
  <c r="G10" i="38"/>
  <c r="G18" i="38"/>
  <c r="H10" i="9"/>
  <c r="H18" i="9"/>
  <c r="H22" i="9"/>
  <c r="G14" i="9"/>
  <c r="H14" i="9"/>
  <c r="G14" i="10"/>
  <c r="G26" i="4"/>
  <c r="G14" i="4"/>
  <c r="G22" i="4"/>
  <c r="H10" i="4"/>
  <c r="H14" i="4"/>
  <c r="H18" i="4"/>
  <c r="H26" i="4"/>
  <c r="H22" i="4"/>
  <c r="G18" i="4"/>
  <c r="H18" i="7"/>
  <c r="H10" i="7"/>
  <c r="G22" i="7"/>
  <c r="H22" i="7"/>
  <c r="G14" i="7"/>
  <c r="H14" i="7"/>
  <c r="G18" i="23"/>
  <c r="G22" i="23"/>
  <c r="G10" i="23"/>
  <c r="G14" i="23"/>
  <c r="G22" i="38"/>
  <c r="G14" i="38"/>
  <c r="H6" i="18"/>
  <c r="G18" i="18"/>
  <c r="G22" i="18"/>
  <c r="H18" i="19"/>
  <c r="H22" i="19"/>
  <c r="G14" i="19"/>
  <c r="H10" i="19"/>
  <c r="H14" i="19"/>
  <c r="H10" i="11"/>
  <c r="H18" i="11"/>
  <c r="H22" i="11"/>
  <c r="G14" i="11"/>
  <c r="H14" i="11"/>
  <c r="G18" i="3"/>
  <c r="G10" i="3"/>
  <c r="G22" i="3"/>
  <c r="G14" i="3"/>
  <c r="H10" i="23" l="1"/>
  <c r="H18" i="23"/>
  <c r="H22" i="10"/>
  <c r="H10" i="10"/>
  <c r="H18" i="10"/>
  <c r="H22" i="23"/>
  <c r="H26" i="23"/>
  <c r="H14" i="10"/>
  <c r="H26" i="3"/>
  <c r="H22" i="3"/>
  <c r="H18" i="3"/>
  <c r="H10" i="3"/>
  <c r="H22" i="38"/>
  <c r="H14" i="38"/>
  <c r="H10" i="38"/>
  <c r="H18" i="38"/>
  <c r="L17" i="2"/>
  <c r="AA17" i="2" s="1"/>
  <c r="L16" i="2"/>
  <c r="AA16" i="2" s="1"/>
  <c r="H22" i="18"/>
  <c r="H10" i="18"/>
  <c r="H26" i="18"/>
  <c r="H14" i="18"/>
  <c r="H18" i="18"/>
  <c r="H6" i="43" l="1"/>
  <c r="H26" i="43" s="1"/>
  <c r="G6" i="43"/>
  <c r="G26" i="43" s="1"/>
  <c r="D9" i="9"/>
  <c r="D9" i="7"/>
  <c r="B20" i="7" s="1"/>
  <c r="D9" i="19"/>
  <c r="B20" i="19" s="1"/>
  <c r="D9" i="18"/>
  <c r="B20" i="18" s="1"/>
  <c r="D9" i="43"/>
  <c r="B20" i="43" s="1"/>
  <c r="J11" i="2" l="1"/>
  <c r="G14" i="43"/>
  <c r="H14" i="43"/>
  <c r="G18" i="43"/>
  <c r="H18" i="43"/>
  <c r="G22" i="43"/>
  <c r="H22" i="43"/>
  <c r="G10" i="43"/>
  <c r="H10" i="43"/>
  <c r="D9" i="4" l="1"/>
  <c r="B20" i="4" s="1"/>
  <c r="J14" i="2" l="1"/>
  <c r="T15" i="2" l="1"/>
  <c r="B11" i="43"/>
  <c r="B10" i="43"/>
  <c r="B7" i="43"/>
  <c r="B16" i="43" s="1"/>
  <c r="J15" i="2"/>
  <c r="F15" i="2"/>
  <c r="R15" i="2"/>
  <c r="T14" i="2"/>
  <c r="B15" i="43" l="1"/>
  <c r="I15" i="2" s="1"/>
  <c r="Q15" i="2"/>
  <c r="P15" i="2"/>
  <c r="G15" i="2"/>
  <c r="O15" i="2"/>
  <c r="N15" i="2"/>
  <c r="E15" i="2"/>
  <c r="D15" i="2"/>
  <c r="S15" i="2"/>
  <c r="H15" i="2"/>
  <c r="L15" i="2" l="1"/>
  <c r="AA15" i="2" s="1"/>
  <c r="J8" i="2"/>
  <c r="J13" i="2"/>
  <c r="J12" i="2"/>
  <c r="J10" i="2"/>
  <c r="J9" i="2"/>
  <c r="J7" i="2"/>
  <c r="J6" i="2"/>
  <c r="J5" i="2"/>
  <c r="S14" i="2"/>
  <c r="R14" i="2"/>
  <c r="Q14" i="2"/>
  <c r="P14" i="2"/>
  <c r="O14" i="2"/>
  <c r="N14" i="2"/>
  <c r="G14" i="2"/>
  <c r="F14" i="2"/>
  <c r="E14" i="2"/>
  <c r="D14" i="2"/>
  <c r="J30" i="2" l="1"/>
  <c r="I12" i="2"/>
  <c r="D6" i="2"/>
  <c r="D7" i="2"/>
  <c r="D8" i="2"/>
  <c r="D9" i="2"/>
  <c r="D10" i="2"/>
  <c r="D11" i="2"/>
  <c r="D12" i="2"/>
  <c r="D13" i="2"/>
  <c r="S13" i="2"/>
  <c r="R13" i="2"/>
  <c r="Q13" i="2"/>
  <c r="P13" i="2"/>
  <c r="O13" i="2"/>
  <c r="N13" i="2"/>
  <c r="G13" i="2"/>
  <c r="F13" i="2"/>
  <c r="E13" i="2"/>
  <c r="T13" i="2"/>
  <c r="T12" i="2"/>
  <c r="T11" i="2"/>
  <c r="T10" i="2"/>
  <c r="S12" i="2"/>
  <c r="R12" i="2"/>
  <c r="Q12" i="2"/>
  <c r="P12" i="2"/>
  <c r="O12" i="2"/>
  <c r="N12" i="2"/>
  <c r="G12" i="2"/>
  <c r="F12" i="2"/>
  <c r="E12" i="2"/>
  <c r="T9" i="2"/>
  <c r="T8" i="2"/>
  <c r="T7" i="2"/>
  <c r="T6" i="2"/>
  <c r="T5" i="2"/>
  <c r="B15" i="9"/>
  <c r="B15" i="7"/>
  <c r="I7" i="2" s="1"/>
  <c r="I5" i="2"/>
  <c r="S9" i="2"/>
  <c r="R9" i="2"/>
  <c r="Q9" i="2"/>
  <c r="P9" i="2"/>
  <c r="O9" i="2"/>
  <c r="N9" i="2"/>
  <c r="G9" i="2"/>
  <c r="F9" i="2"/>
  <c r="E9" i="2"/>
  <c r="S11" i="2"/>
  <c r="R11" i="2"/>
  <c r="Q11" i="2"/>
  <c r="P11" i="2"/>
  <c r="O11" i="2"/>
  <c r="N11" i="2"/>
  <c r="G11" i="2"/>
  <c r="F11" i="2"/>
  <c r="E11" i="2"/>
  <c r="S10" i="2"/>
  <c r="R10" i="2"/>
  <c r="Q10" i="2"/>
  <c r="P10" i="2"/>
  <c r="O10" i="2"/>
  <c r="N10" i="2"/>
  <c r="G10" i="2"/>
  <c r="F10" i="2"/>
  <c r="E10" i="2"/>
  <c r="S8" i="2"/>
  <c r="S7" i="2"/>
  <c r="S6" i="2"/>
  <c r="S5" i="2"/>
  <c r="R8" i="2"/>
  <c r="R7" i="2"/>
  <c r="R6" i="2"/>
  <c r="R5" i="2"/>
  <c r="Q8" i="2"/>
  <c r="Q7" i="2"/>
  <c r="Q6" i="2"/>
  <c r="Q5" i="2"/>
  <c r="P8" i="2"/>
  <c r="P7" i="2"/>
  <c r="P6" i="2"/>
  <c r="P5" i="2"/>
  <c r="O8" i="2"/>
  <c r="O7" i="2"/>
  <c r="O6" i="2"/>
  <c r="O5" i="2"/>
  <c r="N8" i="2"/>
  <c r="N7" i="2"/>
  <c r="N6" i="2"/>
  <c r="N5" i="2"/>
  <c r="N2" i="2" s="1"/>
  <c r="G8" i="2"/>
  <c r="G7" i="2"/>
  <c r="G6" i="2"/>
  <c r="G5" i="2"/>
  <c r="F8" i="2"/>
  <c r="F7" i="2"/>
  <c r="F6" i="2"/>
  <c r="F5" i="2"/>
  <c r="E8" i="2"/>
  <c r="E7" i="2"/>
  <c r="E6" i="2"/>
  <c r="E5" i="2"/>
  <c r="L2" i="2"/>
  <c r="D30" i="2" l="1"/>
  <c r="F30" i="2"/>
  <c r="E30" i="2"/>
  <c r="G30" i="2"/>
  <c r="I9" i="2"/>
  <c r="I6" i="2"/>
  <c r="I10" i="2"/>
  <c r="I13" i="2"/>
  <c r="H6" i="2"/>
  <c r="H5" i="2"/>
  <c r="B15" i="19"/>
  <c r="I11" i="2" s="1"/>
  <c r="H13" i="2"/>
  <c r="H12" i="2"/>
  <c r="L12" i="2" s="1"/>
  <c r="AA12" i="2" s="1"/>
  <c r="H10" i="2"/>
  <c r="H7" i="2"/>
  <c r="H14" i="2"/>
  <c r="I14" i="2"/>
  <c r="H9" i="2"/>
  <c r="H11" i="2"/>
  <c r="I8" i="2"/>
  <c r="H8" i="2"/>
  <c r="I30" i="2" l="1"/>
  <c r="H30" i="2"/>
  <c r="L5" i="2"/>
  <c r="AA5" i="2" s="1"/>
  <c r="L9" i="2"/>
  <c r="AA9" i="2" s="1"/>
  <c r="L10" i="2"/>
  <c r="AA10" i="2" s="1"/>
  <c r="L6" i="2"/>
  <c r="AA6" i="2" s="1"/>
  <c r="L14" i="2"/>
  <c r="AA14" i="2" s="1"/>
  <c r="L7" i="2"/>
  <c r="AA7" i="2" s="1"/>
  <c r="L13" i="2"/>
  <c r="AA13" i="2" s="1"/>
  <c r="L8" i="2"/>
  <c r="AA8" i="2" s="1"/>
  <c r="L11" i="2"/>
  <c r="AA11" i="2" s="1"/>
  <c r="L30" i="2" l="1"/>
</calcChain>
</file>

<file path=xl/sharedStrings.xml><?xml version="1.0" encoding="utf-8"?>
<sst xmlns="http://schemas.openxmlformats.org/spreadsheetml/2006/main" count="2418" uniqueCount="662">
  <si>
    <t>Name</t>
  </si>
  <si>
    <t>Surname</t>
  </si>
  <si>
    <t>Emp no</t>
  </si>
  <si>
    <t>Basic Wage</t>
  </si>
  <si>
    <t>Subsistence
Allowance</t>
  </si>
  <si>
    <t>Load
Incentive</t>
  </si>
  <si>
    <t>INCOME</t>
  </si>
  <si>
    <t>DEDUCTIONS</t>
  </si>
  <si>
    <t>TOTAL</t>
  </si>
  <si>
    <t>COMMENTS</t>
  </si>
  <si>
    <t>DATE :</t>
  </si>
  <si>
    <t>THEM002</t>
  </si>
  <si>
    <t>Luizi</t>
  </si>
  <si>
    <t>THEM004</t>
  </si>
  <si>
    <t>Ndondi Simon</t>
  </si>
  <si>
    <t>Ndlala</t>
  </si>
  <si>
    <t>Staff account/
Loan Deduction</t>
  </si>
  <si>
    <t>Staff accoun /
Loan Balance</t>
  </si>
  <si>
    <t>Cash Advance
Deduction</t>
  </si>
  <si>
    <t>Cash Advance
Balance</t>
  </si>
  <si>
    <t>THEM008</t>
  </si>
  <si>
    <t xml:space="preserve">Abongile </t>
  </si>
  <si>
    <t>Mana</t>
  </si>
  <si>
    <t>PAYE</t>
  </si>
  <si>
    <t>UIF</t>
  </si>
  <si>
    <t>THEM011</t>
  </si>
  <si>
    <t>Kliffet</t>
  </si>
  <si>
    <t>Williams</t>
  </si>
  <si>
    <t>Sick Fund 
20% x weekly</t>
  </si>
  <si>
    <t>Holiday Fund
36.08% x weekly</t>
  </si>
  <si>
    <t>Leave Pay
25% x weekly</t>
  </si>
  <si>
    <t>NBCRFLI
Levy 0.4% x monthly</t>
  </si>
  <si>
    <t>Provident
10% x monthly</t>
  </si>
  <si>
    <t>Wellness
1% x Monthly</t>
  </si>
  <si>
    <t xml:space="preserve">Resty </t>
  </si>
  <si>
    <t>Hollander</t>
  </si>
  <si>
    <t>kgosiema (roy)</t>
  </si>
  <si>
    <t>Setlhare</t>
  </si>
  <si>
    <t>Sibusiso arnold</t>
  </si>
  <si>
    <t>Silomo</t>
  </si>
  <si>
    <t>THEM-021</t>
  </si>
  <si>
    <t>Council Subs Allowance required</t>
  </si>
  <si>
    <t>Max Subs allowance</t>
  </si>
  <si>
    <t>THEM-026</t>
  </si>
  <si>
    <t>THEM-027</t>
  </si>
  <si>
    <t xml:space="preserve"> </t>
  </si>
  <si>
    <t>Basic Salary - 7 Loads</t>
  </si>
  <si>
    <t xml:space="preserve">Total Income </t>
  </si>
  <si>
    <t>8 Loads</t>
  </si>
  <si>
    <t>Gross Income</t>
  </si>
  <si>
    <t>9 Loads</t>
  </si>
  <si>
    <t>10 Loads</t>
  </si>
  <si>
    <t>11 Loads</t>
  </si>
  <si>
    <t>12 Loads</t>
  </si>
  <si>
    <t>Additional Subsistance</t>
  </si>
  <si>
    <t>Subsistance</t>
  </si>
  <si>
    <t xml:space="preserve">Hotazel Mines </t>
  </si>
  <si>
    <t>Lohatla Mines</t>
  </si>
  <si>
    <t>Basic Salary - 7 loads</t>
  </si>
  <si>
    <t>Subsistence allowance per mine</t>
  </si>
  <si>
    <t>EXAMPLE</t>
  </si>
  <si>
    <t>Subsistance / load</t>
  </si>
  <si>
    <t>Load bonus (&gt;7 loads)</t>
  </si>
  <si>
    <t>No. of loads (&gt;7 loads)</t>
  </si>
  <si>
    <t>Incentive / load</t>
  </si>
  <si>
    <t>Loads per mine (total 7 max)</t>
  </si>
  <si>
    <t>Total Subsistence Allowance</t>
  </si>
  <si>
    <t>Additional Subsistance allowance (&gt;7 loads)</t>
  </si>
  <si>
    <t>Total Load bonus due (&gt;7 loads)</t>
  </si>
  <si>
    <t>Subsistance already paid as advance</t>
  </si>
  <si>
    <t xml:space="preserve">Kambinda </t>
  </si>
  <si>
    <t xml:space="preserve">David </t>
  </si>
  <si>
    <t>TAX NUMBER : 2535529164</t>
  </si>
  <si>
    <t>THEM028</t>
  </si>
  <si>
    <t>Sam</t>
  </si>
  <si>
    <t>Mahlamba</t>
  </si>
  <si>
    <t>THEM031</t>
  </si>
  <si>
    <t>COST TO COMPANY</t>
  </si>
  <si>
    <t>TRUCK</t>
  </si>
  <si>
    <t>L Kambinda JTH970EC THEM002</t>
  </si>
  <si>
    <t xml:space="preserve">SAM DINGIDAWO MAHLAMBA ID 8811015438080 THEM028 JXP816EC </t>
  </si>
  <si>
    <t xml:space="preserve">NS Ndlala THEM004 SIMON JZG083EC </t>
  </si>
  <si>
    <t>R Hollander THEM021</t>
  </si>
  <si>
    <t>MINE</t>
  </si>
  <si>
    <t>FOOD ALLOWANCE PAYMENTS</t>
  </si>
  <si>
    <t>FOOD ALL PAID IN ADVANCE</t>
  </si>
  <si>
    <t>TOTAL FOR LOADS</t>
  </si>
  <si>
    <t>DRIVER WAGES</t>
  </si>
  <si>
    <t>THEM033</t>
  </si>
  <si>
    <t>Andries Moitsemang</t>
  </si>
  <si>
    <t>Mathe</t>
  </si>
  <si>
    <t>Petrus Jacobus</t>
  </si>
  <si>
    <t>Pretorius</t>
  </si>
  <si>
    <t>Load Bonus (Assmang)</t>
  </si>
  <si>
    <t>THEM037</t>
  </si>
  <si>
    <t>Itemogeng Job</t>
  </si>
  <si>
    <t>Dimengu</t>
  </si>
  <si>
    <t>IJ Dimengu THEM037</t>
  </si>
  <si>
    <t>Weekly wage w.e.f. 01/03/2023</t>
  </si>
  <si>
    <t>LEFA STOFFEL SEFADI</t>
  </si>
  <si>
    <t>FNB : 62418950045</t>
  </si>
  <si>
    <t>Adiitional loads</t>
  </si>
  <si>
    <t xml:space="preserve">A Mana THEM008 </t>
  </si>
  <si>
    <t>Stoffel Sefadi THEM043</t>
  </si>
  <si>
    <t>THEM043</t>
  </si>
  <si>
    <t>Stoffel</t>
  </si>
  <si>
    <t>Sefadi</t>
  </si>
  <si>
    <t xml:space="preserve">K Williams THEM011 </t>
  </si>
  <si>
    <t>THEM045</t>
  </si>
  <si>
    <t>Samuel</t>
  </si>
  <si>
    <t>Domingo</t>
  </si>
  <si>
    <t>Samuel Domingo THEM045</t>
  </si>
  <si>
    <t>ASSMANG ADD R150 P/L + LOAD BONUS + SHUTTLE LOAD</t>
  </si>
  <si>
    <t>THEM046</t>
  </si>
  <si>
    <t>THEM047</t>
  </si>
  <si>
    <t>Matiwane</t>
  </si>
  <si>
    <t>Mocwane</t>
  </si>
  <si>
    <t>Phikane</t>
  </si>
  <si>
    <t>Kgololo Joseph</t>
  </si>
  <si>
    <t>P Matiwane THEM046</t>
  </si>
  <si>
    <t>KJ Mocwane THEM047</t>
  </si>
  <si>
    <t xml:space="preserve">KOSGELD </t>
  </si>
  <si>
    <t>PETRUS PRETORUIS ID 6312265270085 THEM031</t>
  </si>
  <si>
    <t>THEM048</t>
  </si>
  <si>
    <t>Randall</t>
  </si>
  <si>
    <t>Bosch</t>
  </si>
  <si>
    <t>ROY K Setlhare JWM730EC  THEM-026</t>
  </si>
  <si>
    <t>SA Silomo THEM-027 KFK772EC</t>
  </si>
  <si>
    <t>R Bosch THEM048 JRC117EC</t>
  </si>
  <si>
    <t>Ruwatira Tapiwa THEM049</t>
  </si>
  <si>
    <t>THEM049</t>
  </si>
  <si>
    <t>Ruwatira</t>
  </si>
  <si>
    <t>Tapiwa</t>
  </si>
  <si>
    <t>THEM050</t>
  </si>
  <si>
    <t>THEM051</t>
  </si>
  <si>
    <t>Freek Boss THEM051</t>
  </si>
  <si>
    <t>Samuel Mmotsi THEM050</t>
  </si>
  <si>
    <t>Mmotsi</t>
  </si>
  <si>
    <t>Freek</t>
  </si>
  <si>
    <t>Boss</t>
  </si>
  <si>
    <t>Ayabulela Mdingi THEM052</t>
  </si>
  <si>
    <t>THEM054</t>
  </si>
  <si>
    <t xml:space="preserve">Letlhogonolo </t>
  </si>
  <si>
    <t>Gaebidiwe</t>
  </si>
  <si>
    <t>Letlhogonolo  AUBRY Gaebidiwe THEM054</t>
  </si>
  <si>
    <t>P Hendrikcs THEM056</t>
  </si>
  <si>
    <t>THEM056</t>
  </si>
  <si>
    <t>Hendrikcs</t>
  </si>
  <si>
    <t>Pieter</t>
  </si>
  <si>
    <t>casuals kry R2200 vir verder routes</t>
  </si>
  <si>
    <t>umk, tshipi en tawana is R2200 (vir casual)</t>
  </si>
  <si>
    <t>UNDERPAID FOOD ALL</t>
  </si>
  <si>
    <t xml:space="preserve">DEDUCTION </t>
  </si>
  <si>
    <t>MOKALA &amp; ASSMANG ADD R150 P/L</t>
  </si>
  <si>
    <t>KOSGELD BEREKENING</t>
  </si>
  <si>
    <t xml:space="preserve">ACTUAL FOOD ALLOWANCE </t>
  </si>
  <si>
    <t>PD IN ADVANCE</t>
  </si>
  <si>
    <t>UNDERPAID</t>
  </si>
  <si>
    <t xml:space="preserve">BANK DETAILS </t>
  </si>
  <si>
    <t>KPS629EC</t>
  </si>
  <si>
    <t xml:space="preserve">back loads </t>
  </si>
  <si>
    <t xml:space="preserve">BACK LOADS </t>
  </si>
  <si>
    <t>ANDRIES MATHE  THEM033</t>
  </si>
  <si>
    <t>ASSMANG (Load Bonus)</t>
  </si>
  <si>
    <t>ADDITIONAL LOADS</t>
  </si>
  <si>
    <t>&lt; FORMULA. DON'T CHANGE</t>
  </si>
  <si>
    <t>SAND VRAG</t>
  </si>
  <si>
    <t xml:space="preserve">GLENDORE </t>
  </si>
  <si>
    <t>GLENDORE</t>
  </si>
  <si>
    <t>mokala , assmang , sebilo , tawana - R2200</t>
  </si>
  <si>
    <t>glosam , driehoek , future , afrimat , boskop-R1900</t>
  </si>
  <si>
    <t>CTC</t>
  </si>
  <si>
    <t>KPS102EC</t>
  </si>
  <si>
    <t xml:space="preserve">DROE FONTEIN </t>
  </si>
  <si>
    <t xml:space="preserve">AFRIMAT </t>
  </si>
  <si>
    <t xml:space="preserve">droe fontein </t>
  </si>
  <si>
    <t>CAPITEC- 1267731808</t>
  </si>
  <si>
    <t>KOSGELDE</t>
  </si>
  <si>
    <t>CHECKED(B)</t>
  </si>
  <si>
    <t>UPDATED 15.12.2025</t>
  </si>
  <si>
    <t>PROJECTION NOT FORFILLED FOR NOV</t>
  </si>
  <si>
    <t>THEM057</t>
  </si>
  <si>
    <t>THEM058</t>
  </si>
  <si>
    <t>THEM060</t>
  </si>
  <si>
    <t>THEM061</t>
  </si>
  <si>
    <t>Miguel</t>
  </si>
  <si>
    <t>Maseka</t>
  </si>
  <si>
    <t>Tshidiso</t>
  </si>
  <si>
    <t>Sethunya</t>
  </si>
  <si>
    <t>Johny</t>
  </si>
  <si>
    <t>Jacobs</t>
  </si>
  <si>
    <t>Mohapeloa</t>
  </si>
  <si>
    <t>Aviwe Hoza THEM059</t>
  </si>
  <si>
    <t>Miguel Maseka THEM057</t>
  </si>
  <si>
    <t>Johny Jacobs THEM060</t>
  </si>
  <si>
    <t>David Mohapeloa THEM061</t>
  </si>
  <si>
    <t>Simon Tshidiso Sethunya THEM058</t>
  </si>
  <si>
    <t>LOAN R1000 (09.01.2026</t>
  </si>
  <si>
    <t>JAN  R1000</t>
  </si>
  <si>
    <t>LOAN R3500 (09.01.2026</t>
  </si>
  <si>
    <t>FEB R1000</t>
  </si>
  <si>
    <t>MARCH R1500</t>
  </si>
  <si>
    <t>05.01 JERRY (THEMBIS)</t>
  </si>
  <si>
    <t>12.01 JERRY (THEMBIS)</t>
  </si>
  <si>
    <t>19.01 JERRY (THEMBIS)</t>
  </si>
  <si>
    <t>26.01 JERRY (OBHI)</t>
  </si>
  <si>
    <t>26.01 JERRY (THEMBIS)</t>
  </si>
  <si>
    <t>KSC007EC</t>
  </si>
  <si>
    <t>05.01 ZAMANI (THEMBIS)</t>
  </si>
  <si>
    <t>12.01 ZAMANI (THEMBIS)</t>
  </si>
  <si>
    <t>19.01 ZAMANI (THEMBIS)</t>
  </si>
  <si>
    <t>26.01 ZAMANI (OBHI)</t>
  </si>
  <si>
    <t xml:space="preserve">KOSGELDE </t>
  </si>
  <si>
    <t>26.01 ZAMANI (THEMBIS)</t>
  </si>
  <si>
    <t>04.01.2026</t>
  </si>
  <si>
    <t>05.01.2026</t>
  </si>
  <si>
    <t>12.01.2026</t>
  </si>
  <si>
    <t>19.01.2026</t>
  </si>
  <si>
    <t>26.01.2026</t>
  </si>
  <si>
    <t>22.01.2026</t>
  </si>
  <si>
    <t>28.01.2026</t>
  </si>
  <si>
    <t>05.01 SAFETEC</t>
  </si>
  <si>
    <t>05.01 THEMBIS</t>
  </si>
  <si>
    <t>12.01 thembis</t>
  </si>
  <si>
    <t>19.01 THEMBIS</t>
  </si>
  <si>
    <t xml:space="preserve">05.01 SAFETEC </t>
  </si>
  <si>
    <t xml:space="preserve">26.01 SAFETEC </t>
  </si>
  <si>
    <t xml:space="preserve">05.01 THEMBIS </t>
  </si>
  <si>
    <t>26.01 THEMBIS</t>
  </si>
  <si>
    <t xml:space="preserve">6.01 safetec </t>
  </si>
  <si>
    <t xml:space="preserve">KOSGEDLE </t>
  </si>
  <si>
    <t>19.01 safetec</t>
  </si>
  <si>
    <t>12.01 safetec</t>
  </si>
  <si>
    <t>CHECKE(B)</t>
  </si>
  <si>
    <t xml:space="preserve">GERALD </t>
  </si>
  <si>
    <t xml:space="preserve">SAFETEC </t>
  </si>
  <si>
    <t>kcy733ec</t>
  </si>
  <si>
    <t>thembis</t>
  </si>
  <si>
    <t>MASKITO</t>
  </si>
  <si>
    <t xml:space="preserve">PETRUS TROK </t>
  </si>
  <si>
    <t xml:space="preserve">TUMISO </t>
  </si>
  <si>
    <t>THEMBIS</t>
  </si>
  <si>
    <t>JYC247EC</t>
  </si>
  <si>
    <t>SAFETEC</t>
  </si>
  <si>
    <t>MATHEWS</t>
  </si>
  <si>
    <t>JRC117EC</t>
  </si>
  <si>
    <t>checked(b)</t>
  </si>
  <si>
    <t>KDJ034EC</t>
  </si>
  <si>
    <t xml:space="preserve">DAVID </t>
  </si>
  <si>
    <t>KDZ484EC</t>
  </si>
  <si>
    <t>GARTH</t>
  </si>
  <si>
    <t>27.01.2026</t>
  </si>
  <si>
    <t xml:space="preserve">27.01THEMBIS </t>
  </si>
  <si>
    <t xml:space="preserve">DEDUCTIONS </t>
  </si>
  <si>
    <t>CAPITEC- 1169321362</t>
  </si>
  <si>
    <t xml:space="preserve">DROEFONTEIN </t>
  </si>
  <si>
    <t>A MARAIS</t>
  </si>
  <si>
    <t>DROEFONTEIN</t>
  </si>
  <si>
    <t xml:space="preserve">A MARAIS </t>
  </si>
  <si>
    <t>13.01.2026</t>
  </si>
  <si>
    <t>PIETER</t>
  </si>
  <si>
    <t xml:space="preserve">RECEIVED </t>
  </si>
  <si>
    <t>20.01.2026</t>
  </si>
  <si>
    <t xml:space="preserve">PIETER </t>
  </si>
  <si>
    <t>A MARAIS (R200)</t>
  </si>
  <si>
    <t xml:space="preserve">SAND </t>
  </si>
  <si>
    <t>5.01 TAWANA JERRY</t>
  </si>
  <si>
    <t>7.01 TAWANA JERRY</t>
  </si>
  <si>
    <t>9.01 SEBILO JERRY</t>
  </si>
  <si>
    <t>11.1 SEBILO JERRY</t>
  </si>
  <si>
    <t>13.01 MOKALA JERRY</t>
  </si>
  <si>
    <t>15.01 MOKALA JERRY</t>
  </si>
  <si>
    <t>17.01 SEBILO JERRY</t>
  </si>
  <si>
    <t>19.01 SEBILO JERRY</t>
  </si>
  <si>
    <t>21.01 MOKALA JERRY</t>
  </si>
  <si>
    <t>23.01 MOKALA JERRY</t>
  </si>
  <si>
    <t>25.01 TAWANA JERRY</t>
  </si>
  <si>
    <t>27.01 SEBILO JERRY</t>
  </si>
  <si>
    <t>PROJECTION SEBILO JERRY</t>
  </si>
  <si>
    <t>15.01.2026</t>
  </si>
  <si>
    <t>JXP813EC</t>
  </si>
  <si>
    <t>JOHNNY</t>
  </si>
  <si>
    <t>21.01.2026</t>
  </si>
  <si>
    <t>13X LOADS</t>
  </si>
  <si>
    <t>JXP816EC</t>
  </si>
  <si>
    <t>SIMON NEW</t>
  </si>
  <si>
    <t>23.01.2026</t>
  </si>
  <si>
    <t>JZG083EC</t>
  </si>
  <si>
    <t>FREEK</t>
  </si>
  <si>
    <t>6.01 TAWANA ZAMANI</t>
  </si>
  <si>
    <t>9.01 SEBILO ZAMANI</t>
  </si>
  <si>
    <t>11.01 MOKALA ZAMANI</t>
  </si>
  <si>
    <t>14.01 MOKALA ZAMANI</t>
  </si>
  <si>
    <t>16.01 MOKALA ZAMANI</t>
  </si>
  <si>
    <t>18.01 MOKALA ZAMANI</t>
  </si>
  <si>
    <t>20.01 SEBILO ZAMANI</t>
  </si>
  <si>
    <t>26.01 SEBILO ZAMANI</t>
  </si>
  <si>
    <t>PROJECTION SEBILO ZAMANI</t>
  </si>
  <si>
    <t>10X LOADS</t>
  </si>
  <si>
    <t>16.01.2026</t>
  </si>
  <si>
    <t>JZS095EC</t>
  </si>
  <si>
    <t>RESTI</t>
  </si>
  <si>
    <t>SAND</t>
  </si>
  <si>
    <t>KBD393EC</t>
  </si>
  <si>
    <t>KLIFFET</t>
  </si>
  <si>
    <t>14.01.2026</t>
  </si>
  <si>
    <t xml:space="preserve">SAMUEL </t>
  </si>
  <si>
    <t>KFK772EC</t>
  </si>
  <si>
    <t>PHIKANI</t>
  </si>
  <si>
    <t>KFT767EC</t>
  </si>
  <si>
    <t>MIGUEL</t>
  </si>
  <si>
    <t>KKF401EC</t>
  </si>
  <si>
    <t xml:space="preserve">MMOTSI </t>
  </si>
  <si>
    <t>KLC159EC</t>
  </si>
  <si>
    <t>JOB</t>
  </si>
  <si>
    <t>KMR411EC</t>
  </si>
  <si>
    <t>SIMON NDALA</t>
  </si>
  <si>
    <t>KMT481EC</t>
  </si>
  <si>
    <t>SAM</t>
  </si>
  <si>
    <t>KNF472EC</t>
  </si>
  <si>
    <t>SIBUSISO</t>
  </si>
  <si>
    <t>KNS946EC</t>
  </si>
  <si>
    <t>ABONGILE</t>
  </si>
  <si>
    <t>KRW188EC</t>
  </si>
  <si>
    <t>AUBREY</t>
  </si>
  <si>
    <t>ADRIAAN</t>
  </si>
  <si>
    <t>6.01 ASSMANG ADRIAAN</t>
  </si>
  <si>
    <t>8.01 ASSMANG ADRIAAN</t>
  </si>
  <si>
    <t>10.01 ASSMANG ADRIAAN</t>
  </si>
  <si>
    <t>12.01 ASSMANG ADRIAAN</t>
  </si>
  <si>
    <t>14.01 ASSMANG ADRIAAN</t>
  </si>
  <si>
    <t>16.01 ASSMANG ADRIAAN</t>
  </si>
  <si>
    <t>19.01 ASSMANG ADRIAAN</t>
  </si>
  <si>
    <t>21.01 ASSMNAG ADRIAAN</t>
  </si>
  <si>
    <t>23.01 ASSMANG ADRIAAN</t>
  </si>
  <si>
    <t>25.01 ASSMANG ADRIAAN</t>
  </si>
  <si>
    <t>27.01 ASSMNAG ADRIAAN</t>
  </si>
  <si>
    <t xml:space="preserve">PROJECTION </t>
  </si>
  <si>
    <t>PROJECTION SEBILO AMOS</t>
  </si>
  <si>
    <t>2X LOADS</t>
  </si>
  <si>
    <t>29.01 AMOS (THEMBIS)</t>
  </si>
  <si>
    <t>EKV375GP</t>
  </si>
  <si>
    <t xml:space="preserve">EKSTRA </t>
  </si>
  <si>
    <t>LOADS(B)</t>
  </si>
  <si>
    <t xml:space="preserve">TOTAL </t>
  </si>
  <si>
    <t>CAPITEC- 1323790177</t>
  </si>
  <si>
    <t>20.01 ASSMANG MOSKITO+ PETRUS</t>
  </si>
  <si>
    <t>22.01 ASSMNANG MOSKITO+PETRUS</t>
  </si>
  <si>
    <t>23.01 ASSMANG MOSKITO+ PETRUS</t>
  </si>
  <si>
    <t>25.01 ASSMANG PETRUS + MOSKITO</t>
  </si>
  <si>
    <t>KRM473EC</t>
  </si>
  <si>
    <t>7.01 ASSMANG MOSKITO</t>
  </si>
  <si>
    <t>9.01 ASSMANG MOSKITO</t>
  </si>
  <si>
    <t>4 LOADS</t>
  </si>
  <si>
    <t>6.01 ASSMANG GERALD</t>
  </si>
  <si>
    <t>8.01 ASSMANG GERALD</t>
  </si>
  <si>
    <t>10.01 ASSMANG GERALD</t>
  </si>
  <si>
    <t>12.01 ASSMANG  GERALD</t>
  </si>
  <si>
    <t>15.01 ASSMANG GERALD</t>
  </si>
  <si>
    <t>17.01 ASSMANG GERALD</t>
  </si>
  <si>
    <t>19.01 ASSMNAG GERALD</t>
  </si>
  <si>
    <t xml:space="preserve">21.01 ASSMANG GERALD </t>
  </si>
  <si>
    <t>23.01 ASSMANG GERALD</t>
  </si>
  <si>
    <t>25.01 ASSMNAG GERALD</t>
  </si>
  <si>
    <t>27.01 ASSMANG GERALD</t>
  </si>
  <si>
    <t>KCY733EC</t>
  </si>
  <si>
    <t>27.01 ASSMANG GARTH</t>
  </si>
  <si>
    <t>27.01 ASSMNAG MATTHES</t>
  </si>
  <si>
    <t>23.01 TKS TUMISO</t>
  </si>
  <si>
    <t>25.01 TKS TUMISO</t>
  </si>
  <si>
    <t>27.01 TKS TUMISO</t>
  </si>
  <si>
    <t xml:space="preserve">PROJECTION MATTHES </t>
  </si>
  <si>
    <t xml:space="preserve">projection </t>
  </si>
  <si>
    <t>TKS , glosam , driehoek , future , afrimat , boskop-R1900</t>
  </si>
  <si>
    <t>7.01 DRIEHOEK PIETER</t>
  </si>
  <si>
    <t>9.01 GLOSAM PIETER</t>
  </si>
  <si>
    <t>11.01 GLOSAM PIETER</t>
  </si>
  <si>
    <t>13.01 GLOSAM PIETER</t>
  </si>
  <si>
    <t>17.01 EMNAG PIETER</t>
  </si>
  <si>
    <t>18.01 EMNAG PIETER</t>
  </si>
  <si>
    <t>21.01 EMANG PIETER</t>
  </si>
  <si>
    <t>LOADS</t>
  </si>
  <si>
    <t>6.01 ASSMANG RANDAL</t>
  </si>
  <si>
    <t>8.01 ASSMANG RANDAL</t>
  </si>
  <si>
    <t>11.01 ASSMANG RANDAL</t>
  </si>
  <si>
    <t>14.01 ASSMANG RANDAL</t>
  </si>
  <si>
    <t>16.01 ASSMANG RANDAL</t>
  </si>
  <si>
    <t>18.01 ASSMANG RANDAL</t>
  </si>
  <si>
    <t>20.01 ASSMANG RANDAL</t>
  </si>
  <si>
    <t>22.01 ASSMANG RANDAL</t>
  </si>
  <si>
    <t>24.01 ASSMNAG RANDAL</t>
  </si>
  <si>
    <t xml:space="preserve">PROJECTION RANDALL </t>
  </si>
  <si>
    <t>KDJ034</t>
  </si>
  <si>
    <t>27.01 ASSMANG MATTHES</t>
  </si>
  <si>
    <t>CHECKED9(B)</t>
  </si>
  <si>
    <t>6.01 ASSMANG JOHNNY</t>
  </si>
  <si>
    <t>8.01 ASSMANG JOHNNY</t>
  </si>
  <si>
    <t>10.01 ASSMANG JOHNNY</t>
  </si>
  <si>
    <t>13.01 SEBILO JOHNNY</t>
  </si>
  <si>
    <t>15.01 ASSMNAG JOHNNY</t>
  </si>
  <si>
    <t>17.01 ASSMNAG JOHNNY</t>
  </si>
  <si>
    <t>19.01 ASSMANG JOHNNY</t>
  </si>
  <si>
    <t>21.01 ASSMANG JOHNNY</t>
  </si>
  <si>
    <t>23.01 ASSMANG JOHNNY</t>
  </si>
  <si>
    <t>25.01 ASSMANG JOHNNY</t>
  </si>
  <si>
    <t>27.01 ASSMANG JOHNNY</t>
  </si>
  <si>
    <t>6.01 ASSMANG SIMON CASUAL</t>
  </si>
  <si>
    <t>8.01 ASSMANG SIMON CASUAL</t>
  </si>
  <si>
    <t>9.01 ASSMANG SIMON(CASUAL)</t>
  </si>
  <si>
    <t>11.01 ASSMNAG SIMON(CASUAL</t>
  </si>
  <si>
    <t>14.01 ASSMNAG SIMON(CASUAL)</t>
  </si>
  <si>
    <t>16.01 ASSMANG SIMON(CASUAL)</t>
  </si>
  <si>
    <t>18.01 ASSMANG SIMON(CASUAL)</t>
  </si>
  <si>
    <t>20.01 ASSMNAG SIMON(CASUAL)</t>
  </si>
  <si>
    <t>21.01 ASSMANG SIMON(CASUAL)</t>
  </si>
  <si>
    <t>23.01 ASSMNAG SIMON(CASUAL)</t>
  </si>
  <si>
    <t>25.01 ASSMANG SIMON(CASUAL)</t>
  </si>
  <si>
    <t>27.01 ASSMANG SIMON(CASUAL)</t>
  </si>
  <si>
    <t>5.01 ASSMANG FREEK</t>
  </si>
  <si>
    <t>7.01 ASSMANG FREEK</t>
  </si>
  <si>
    <t>9.01 ASSMANG FREEK</t>
  </si>
  <si>
    <t>11.01 ASSMNAG FREEK</t>
  </si>
  <si>
    <t>14.01 ASSMNAG FREEK</t>
  </si>
  <si>
    <t>15.01 ASSMANG FREEK</t>
  </si>
  <si>
    <t>18.01 ASSMNAG FREEK</t>
  </si>
  <si>
    <t>20.01 ASSMNAG FREEK</t>
  </si>
  <si>
    <t>22.01 ASSMNAG FREEK</t>
  </si>
  <si>
    <t>24.01 ASSMANG FREEK</t>
  </si>
  <si>
    <t>26.01 ASSMANG FREEK</t>
  </si>
  <si>
    <t>6.01 ASSMANG RETSI</t>
  </si>
  <si>
    <t>8.01 ASSMANG RESTI</t>
  </si>
  <si>
    <t>10.01 ASSMANG RESTI</t>
  </si>
  <si>
    <t>12.01 ASSMANG RESTI</t>
  </si>
  <si>
    <t>14.01 ASSMNAG RESTI</t>
  </si>
  <si>
    <t>16.01 ASSMANG RESTI</t>
  </si>
  <si>
    <t>20.01 ASSMNAG RESTI</t>
  </si>
  <si>
    <t>22.01 ASSMANG RESTI</t>
  </si>
  <si>
    <t>24.01 ASSMNAG RESTI</t>
  </si>
  <si>
    <t>26.01 ASSMANG RESTI</t>
  </si>
  <si>
    <t>6.01 ASSMANG KLIFFET</t>
  </si>
  <si>
    <t>8.01 ASSMANG KLIFFET</t>
  </si>
  <si>
    <t>11.01 ASSMNAG KLIFFET</t>
  </si>
  <si>
    <t>13.01 SEBILO KLIFFET</t>
  </si>
  <si>
    <t>16.01 ASSMANG KLIFFET</t>
  </si>
  <si>
    <t>18.01 ASSMNAG KLIFFET</t>
  </si>
  <si>
    <t>20.01 ASSMANG KLIFFET</t>
  </si>
  <si>
    <t>22.01 ASSMANG KLIFFET</t>
  </si>
  <si>
    <t>24.01 ASSMANG KLIFFET</t>
  </si>
  <si>
    <t>27.01 ASSMANG KLIFFET</t>
  </si>
  <si>
    <t>11.01 ASSMNAG SAMUEL</t>
  </si>
  <si>
    <t>13.01 SEBILO SAMUEL</t>
  </si>
  <si>
    <t>14.01 ASSMANG SAMUEL</t>
  </si>
  <si>
    <t>16.01 ASSMANG SAMUEL</t>
  </si>
  <si>
    <t>17.01 ASSMNAG SAMUEL</t>
  </si>
  <si>
    <t>20.01 ASSMANG SAMUEL</t>
  </si>
  <si>
    <t>21.01 ASSMNAG SAMUEL</t>
  </si>
  <si>
    <t>23.01 ASSMNAG SAMUEL</t>
  </si>
  <si>
    <t>25.01 ASSMNAG SAMUEL</t>
  </si>
  <si>
    <t>27.01 ASSMNAG SAMUEL</t>
  </si>
  <si>
    <t>NUWE</t>
  </si>
  <si>
    <t>TRUCK COLLECTION - KRY 1 VRAG AS PER JOHAN</t>
  </si>
  <si>
    <t>7.01 ASSMANG DAVID (CASUAL)</t>
  </si>
  <si>
    <t>8.01 ASSMANG DAVID(CASUAL)</t>
  </si>
  <si>
    <t>10.01 ASSMANG DAVID(CASUAL)</t>
  </si>
  <si>
    <t>12.01 ASSMANG DAVID(CASUAL)</t>
  </si>
  <si>
    <t>14.01 ASSMANG DAVID(CASUAL)</t>
  </si>
  <si>
    <t>16.01 ASSMNAG DAVID(CASUAL)</t>
  </si>
  <si>
    <t>18.01 ASSMANG DAVID(CASUAL)</t>
  </si>
  <si>
    <t>20.01 ASSMNANG DAVID(CASUAL)</t>
  </si>
  <si>
    <t>22.01 ASSMANG DAVID(CASUAL)</t>
  </si>
  <si>
    <t>24.01 ASSMANG DAVID(CASUAL)</t>
  </si>
  <si>
    <t>26.01 ASSMANG DAVID(CASUAL)</t>
  </si>
  <si>
    <t>6.01 ASSMANG PHIKANE</t>
  </si>
  <si>
    <t>7.01 ASSMANG PHIKANE</t>
  </si>
  <si>
    <t>9.01 ASSMANG PHIKANE</t>
  </si>
  <si>
    <t>11.01 ASSMNAG PHIKANE</t>
  </si>
  <si>
    <t>13.01 SEBILO PHIKANE</t>
  </si>
  <si>
    <t>15.01 ASSMNAG PHIKANE</t>
  </si>
  <si>
    <t>17.01 ASSMANG PHIKANE</t>
  </si>
  <si>
    <t>19.01 ASSMNAG PHIKANE</t>
  </si>
  <si>
    <t>21.01 ASSMNAG PHIKANE</t>
  </si>
  <si>
    <t>23.01 ASSMNAG PHIKANE</t>
  </si>
  <si>
    <t>25.01 ASSMANG PHIKANE</t>
  </si>
  <si>
    <t>27.01 ASSMANG PHIKANE</t>
  </si>
  <si>
    <t>5.01 ASSMANG MIGUEL</t>
  </si>
  <si>
    <t>7.01 ASSMANG MIGUEL</t>
  </si>
  <si>
    <t>9.01 ASSMANG MIGUEL</t>
  </si>
  <si>
    <t>11.01 ASSMNAG MIGUEL</t>
  </si>
  <si>
    <t>1 4.01 ASSMANG MIGUEL</t>
  </si>
  <si>
    <t>15.01 ASSMANG MIGUEL</t>
  </si>
  <si>
    <t>17.01 ASSMNAG MIGUEL</t>
  </si>
  <si>
    <t>19.01 ASSMNAG MIGUEL</t>
  </si>
  <si>
    <t>21.01 ASSMANG MIGUEL</t>
  </si>
  <si>
    <t>23.01 ASSMANG MIGUEL</t>
  </si>
  <si>
    <t>25.01 ASSMANG MIGUEL</t>
  </si>
  <si>
    <t>7.01 ASSMANG ANDRIES</t>
  </si>
  <si>
    <t>9.01 ASSMANG ANDRIES</t>
  </si>
  <si>
    <t>11.01 ASSMNAG ANDRIES</t>
  </si>
  <si>
    <t>13.01 SEBILO ANDRIES</t>
  </si>
  <si>
    <t>15.01 ASSMANG ANDRIES</t>
  </si>
  <si>
    <t>17.01 ASSMNAG ANDRIES</t>
  </si>
  <si>
    <t>19.01 ASSMAG ANDRIES</t>
  </si>
  <si>
    <t>21.01 ASSMNAG ANDRIES</t>
  </si>
  <si>
    <t>23.01 ASSMNAG ANDRIES</t>
  </si>
  <si>
    <t>25.01 ASSMANG ANDRIES</t>
  </si>
  <si>
    <t>27.01 ASSMANG ANDRIES</t>
  </si>
  <si>
    <t>5.01 ASSMANG STOFFEL</t>
  </si>
  <si>
    <t>7.01 ASSMANG STOFFEL</t>
  </si>
  <si>
    <t>8.01 ASSMANG STOFFEL</t>
  </si>
  <si>
    <t>10.01 ASSMANG STOFFEL</t>
  </si>
  <si>
    <t>12.01 ASSMANG STOFFEL</t>
  </si>
  <si>
    <t>14.01 ASSMANG STOFFEL</t>
  </si>
  <si>
    <t>16.01 ASSMNAG STOFFEL</t>
  </si>
  <si>
    <t>17.01 ASSMANG STOFFEL</t>
  </si>
  <si>
    <t>19.01 ASSMNAG STOFFEL</t>
  </si>
  <si>
    <t>21.01 ASSMANG STOFFEL</t>
  </si>
  <si>
    <t>23.01 ASSMANG STOFFEL</t>
  </si>
  <si>
    <t>24.01 ASSMNAG STOFFEL</t>
  </si>
  <si>
    <t>26.01 ASSMANG STOFFEL</t>
  </si>
  <si>
    <t>6.01 ASSMANG MMOTSI</t>
  </si>
  <si>
    <t>8.01 ASSMANG MMOTSI</t>
  </si>
  <si>
    <t>10.01 ASSMANG MMOTSI</t>
  </si>
  <si>
    <t>13.01 SEBILO MMOTSI</t>
  </si>
  <si>
    <t>15.01 ASSMANG MMOTSI</t>
  </si>
  <si>
    <t>17.01 ASSMANG MMOTSI</t>
  </si>
  <si>
    <t>20.01 ASSMNAG MMOTSI</t>
  </si>
  <si>
    <t>22.01 ASSMANG MMOTSI</t>
  </si>
  <si>
    <t>24.01 ASSMNAG MMOTSI</t>
  </si>
  <si>
    <t>26.01 ASSMNAG MMOTSI</t>
  </si>
  <si>
    <t>CHECKED9B)</t>
  </si>
  <si>
    <t>5.01 ASSMANG JOB</t>
  </si>
  <si>
    <t>7..01 ASSMANG JOB</t>
  </si>
  <si>
    <t>9.01 ASSMANG JOB</t>
  </si>
  <si>
    <t>11.01 ASSMANG JOB</t>
  </si>
  <si>
    <t>14.01 ASSMNAG JOB</t>
  </si>
  <si>
    <t>16.01 ASSMANG JOB</t>
  </si>
  <si>
    <t>18.01 ASSMNAG JOB</t>
  </si>
  <si>
    <t>20.01 ASSMANG JOB</t>
  </si>
  <si>
    <t>23.01 ASSMANG JOB</t>
  </si>
  <si>
    <t>25.01 ASSMANG JOB</t>
  </si>
  <si>
    <t>27.01 ASSMANG JOB</t>
  </si>
  <si>
    <t>7.01 ASSMANG  SIMON</t>
  </si>
  <si>
    <t>9.01 ASSMANG SIMON</t>
  </si>
  <si>
    <t>11.01 ASSMNAG SIMON</t>
  </si>
  <si>
    <t>13.01 SEBILO SIMON</t>
  </si>
  <si>
    <t>15.01 ASSMNAG SIMON</t>
  </si>
  <si>
    <t>17.01 ASSMANG SIMON</t>
  </si>
  <si>
    <t>19.01 ASSMANG SIMON</t>
  </si>
  <si>
    <t>21.01 ASSMNAG SIMON</t>
  </si>
  <si>
    <t>23.01 ASSMANG SIMON</t>
  </si>
  <si>
    <t>25.01 ASSMNAG SIMON</t>
  </si>
  <si>
    <t>27.01 ASSMANG SIMON</t>
  </si>
  <si>
    <t>17.12 ASSMANG SIMON OUD(NOT PD )</t>
  </si>
  <si>
    <t>5.01 TAWANA SIMON</t>
  </si>
  <si>
    <t>6.01 ASSMANG SAM</t>
  </si>
  <si>
    <t>7.01 ASSMANG SAM</t>
  </si>
  <si>
    <t>9.01 ASSMANG SAM</t>
  </si>
  <si>
    <t>11.01 ASSMANG SAM</t>
  </si>
  <si>
    <t>14.01 ASSMANG SAM</t>
  </si>
  <si>
    <t>16.01 ASSMANG SAM</t>
  </si>
  <si>
    <t>18.01 ASSMNAG SAM</t>
  </si>
  <si>
    <t>20.01 ASSMANG SAM</t>
  </si>
  <si>
    <t>22.01 ASSMANG SAM</t>
  </si>
  <si>
    <t>24.01 ASSMANG SAM</t>
  </si>
  <si>
    <t>26.01 ASSMNAG SAM</t>
  </si>
  <si>
    <t>PROJECTION</t>
  </si>
  <si>
    <t>6.01 ASSMANG SIBUSISO</t>
  </si>
  <si>
    <t>8.01 ASSMANG SIBUSISO</t>
  </si>
  <si>
    <t>10.01 ASSMANG SIBUSISO</t>
  </si>
  <si>
    <t>11.01 ASSMANG SIBUSISO</t>
  </si>
  <si>
    <t>14.01 ASSMANG SIBUSISO</t>
  </si>
  <si>
    <t>16.01 ASSMNAG SIBUSISO</t>
  </si>
  <si>
    <t>17.01 ASSMNAG SIBUSISO</t>
  </si>
  <si>
    <t>19.01 ASSMANG SIBUSISO</t>
  </si>
  <si>
    <t>21.01 ASSMANG 108256</t>
  </si>
  <si>
    <t>23.01 ASSMANG SIBUSISO</t>
  </si>
  <si>
    <t>25.01 ASSMNAG SIBUSISO</t>
  </si>
  <si>
    <t>6.01 ASSMANG PAPILON</t>
  </si>
  <si>
    <t>7.01 ASSMANG PAPILON</t>
  </si>
  <si>
    <t>9.01 ASSMANG PAPILON</t>
  </si>
  <si>
    <t>11.01 ASSMANG PAPILON</t>
  </si>
  <si>
    <t>13.01 SEBILO PAPILON</t>
  </si>
  <si>
    <t>15.01 ASSMANG PAPILON</t>
  </si>
  <si>
    <t>17.01 ASSMANG PAPILON</t>
  </si>
  <si>
    <t>19.01 ASSMANG PAPILON</t>
  </si>
  <si>
    <t>20.01 ASSMNAG PAPILON</t>
  </si>
  <si>
    <t>22.01 ASSMNAG PAPILON</t>
  </si>
  <si>
    <t>24.01 ASSMNAG PAPILON</t>
  </si>
  <si>
    <t>26.01 ASSMANG PAPILON</t>
  </si>
  <si>
    <t>28.01 ASSMANG PAPILOM</t>
  </si>
  <si>
    <t>6.01 ASSMANG ABONGILE</t>
  </si>
  <si>
    <t>8.01 ASSMANG ABONGILE</t>
  </si>
  <si>
    <t>10.01 ASSMANG ABINGILE</t>
  </si>
  <si>
    <t>11.01 ASSMNAG ABONGILE</t>
  </si>
  <si>
    <t>14.01 ASSMANG ABONGILE</t>
  </si>
  <si>
    <t>16.01 ASSMANG ABONGILE</t>
  </si>
  <si>
    <t>17.01 ASSMNAG ABONGILE</t>
  </si>
  <si>
    <t>19.01 ASSMANG ABONGILE</t>
  </si>
  <si>
    <t>21.01 ASSMNAG ABONGILE</t>
  </si>
  <si>
    <t>23.01 ASSMANG ABONGILE</t>
  </si>
  <si>
    <t>25.01 ASSMANG ABONGILE</t>
  </si>
  <si>
    <t>CHECKED(B0</t>
  </si>
  <si>
    <t>5.01 ASSMANG ROY</t>
  </si>
  <si>
    <t>7.01 ASSMANG ROY</t>
  </si>
  <si>
    <t>9.01 ASSMANG ROY</t>
  </si>
  <si>
    <t>11.01 ASSMNAG ROY</t>
  </si>
  <si>
    <t>14.01 ASSMNAG ROY</t>
  </si>
  <si>
    <t>15.01 ASSMANG ROY</t>
  </si>
  <si>
    <t>17.01 ASSMNAG ROY</t>
  </si>
  <si>
    <t>19.01 ASSMNAG ROY</t>
  </si>
  <si>
    <t>21.01 ASSMNAG ROY</t>
  </si>
  <si>
    <t>23.01 ASSMANG ROY</t>
  </si>
  <si>
    <t>25.01 ASSMANG ROY</t>
  </si>
  <si>
    <t>27.01 ASSMANG ROY</t>
  </si>
  <si>
    <t>5.01 TAWANA KAMBINDA</t>
  </si>
  <si>
    <t>7.01 ASSMANG KAMBINDA</t>
  </si>
  <si>
    <t>9.01 ASSMANG KAMBINDA</t>
  </si>
  <si>
    <t>11.01 ASSMANG KAMBINDA</t>
  </si>
  <si>
    <t>13.01 SEBILO KAMBINDA</t>
  </si>
  <si>
    <t>15.01 ASSMANG KAMBINDA</t>
  </si>
  <si>
    <t>17.01 ASSMNANG KAMBINDA</t>
  </si>
  <si>
    <t>19.01 ASSMNAG KAMBINDA</t>
  </si>
  <si>
    <t>21.01 ASSMNAG KAMBINDA</t>
  </si>
  <si>
    <t>23.01 ASSMANG KAMBINDA</t>
  </si>
  <si>
    <t>24.01 ASSMANG KAMBINDA</t>
  </si>
  <si>
    <t>26.01 ASSMNAG KAMBINDA</t>
  </si>
  <si>
    <t>6.01 ASSMANG JACKSON</t>
  </si>
  <si>
    <t>8.01 ASSMANG JACKSON</t>
  </si>
  <si>
    <t>10.01 ASSMANG JACKSON</t>
  </si>
  <si>
    <t>12.01 ASSMANG JACKSON</t>
  </si>
  <si>
    <t>14.01 ASSMANG JACKSON</t>
  </si>
  <si>
    <t>16.01 ASSMANG JACKSON</t>
  </si>
  <si>
    <t>18.01 ASSMANG JACKSON</t>
  </si>
  <si>
    <t>20.01 ASSMANG JACKSON</t>
  </si>
  <si>
    <t>22.01 ASSMNAG JACKSON</t>
  </si>
  <si>
    <t>24.01 ASSMANG JACKSON</t>
  </si>
  <si>
    <t>26.01 ASSMANG JACKSON</t>
  </si>
  <si>
    <t xml:space="preserve">projetion </t>
  </si>
  <si>
    <t>5.01 ASSMANG PETRUS</t>
  </si>
  <si>
    <t>7.01 ASSMANG PETRUS</t>
  </si>
  <si>
    <t>9.01 ASSMANG PETRUS</t>
  </si>
  <si>
    <t>11.01 ASSMNAG PETRUS</t>
  </si>
  <si>
    <t>13.01 SEBILO PETRUS</t>
  </si>
  <si>
    <t>16.01 ASSMANG PETRUS</t>
  </si>
  <si>
    <t xml:space="preserve">18.01 ASSMANG PETRUS </t>
  </si>
  <si>
    <t>26.01 ASSMANG PETRUS</t>
  </si>
  <si>
    <t>5.01 ASSMANG AUBREY</t>
  </si>
  <si>
    <t>8.01 ASSMANG AUBREY</t>
  </si>
  <si>
    <t>10.01 ASSMANG AUBREY</t>
  </si>
  <si>
    <t>12.01 ASSMANG AUBREY</t>
  </si>
  <si>
    <t>14.01 ASSMANG AUBREY</t>
  </si>
  <si>
    <t>16.01 ASSMANG AUBREY</t>
  </si>
  <si>
    <t>18.01 ASSMNAG AUBREY</t>
  </si>
  <si>
    <t>21.01 ASSMNAG AUBREY</t>
  </si>
  <si>
    <t>23.01 ASSMNAG AUBREY</t>
  </si>
  <si>
    <t>25.01 ASSMANG AUBREY</t>
  </si>
  <si>
    <t>27.01 ASSMANG AUBREY</t>
  </si>
  <si>
    <t xml:space="preserve">150(KRYNI EKSTRA VIR TOE DIE LORRIE GAAN HAAL IS NIE ) </t>
  </si>
  <si>
    <t>-</t>
  </si>
  <si>
    <t xml:space="preserve">krynie ekstra nie </t>
  </si>
  <si>
    <t xml:space="preserve">kry niks ekstra </t>
  </si>
  <si>
    <t xml:space="preserve">ekstra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</si>
</sst>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R&quot;#,##0;[Red]\-&quot;R&quot;#,##0"/>
    <numFmt numFmtId="8" formatCode="&quot;R&quot;#,##0.00;[Red]\-&quot;R&quot;#,##0.00"/>
    <numFmt numFmtId="44" formatCode="_-&quot;R&quot;* #,##0.00_-;\-&quot;R&quot;* #,##0.00_-;_-&quot;R&quot;* &quot;-&quot;??_-;_-@_-"/>
    <numFmt numFmtId="164" formatCode="_(&quot;R&quot;* #,##0.00_);_(&quot;R&quot;* \(#,##0.00\);_(&quot;R&quot;* &quot;-&quot;??_);_(@_)"/>
    <numFmt numFmtId="165" formatCode="[$-1C09]dd\ mmmm\ yyyy;@"/>
    <numFmt numFmtId="166" formatCode="&quot;R&quot;#,##0.00"/>
  </numFmts>
  <fonts count="8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u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Calibri"/>
      <family val="2"/>
    </font>
    <font>
      <b/>
      <i/>
      <u/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</font>
    <font>
      <b/>
      <i/>
      <u/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</font>
    <font>
      <u/>
      <sz val="11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FF0000"/>
      <name val="Calibri"/>
      <family val="2"/>
    </font>
    <font>
      <sz val="10"/>
      <name val="Arial Narrow"/>
      <family val="2"/>
    </font>
    <font>
      <b/>
      <i/>
      <sz val="10"/>
      <name val="Arial Narrow"/>
      <family val="2"/>
    </font>
    <font>
      <sz val="10"/>
      <color theme="1"/>
      <name val="Calibri"/>
      <family val="2"/>
    </font>
    <font>
      <i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sz val="8"/>
      <name val="Calibri"/>
      <family val="2"/>
    </font>
    <font>
      <b/>
      <i/>
      <u/>
      <sz val="8"/>
      <color theme="1"/>
      <name val="Calibri"/>
      <family val="2"/>
    </font>
    <font>
      <b/>
      <i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name val="Aptos"/>
      <family val="2"/>
    </font>
    <font>
      <b/>
      <i/>
      <u/>
      <sz val="8"/>
      <name val="Calibri"/>
      <family val="2"/>
    </font>
    <font>
      <i/>
      <u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8"/>
      <name val="Calibri"/>
      <family val="2"/>
    </font>
    <font>
      <sz val="8"/>
      <color theme="1"/>
      <name val="Calibri"/>
      <family val="2"/>
    </font>
    <font>
      <b/>
      <sz val="8"/>
      <name val="Calibri"/>
      <family val="2"/>
    </font>
    <font>
      <b/>
      <sz val="8"/>
      <color theme="1"/>
      <name val="Calibri"/>
      <family val="2"/>
    </font>
    <font>
      <b/>
      <i/>
      <u/>
      <sz val="8"/>
      <color rgb="FFFF0000"/>
      <name val="Calibri"/>
      <family val="2"/>
    </font>
    <font>
      <sz val="9"/>
      <color rgb="FFFF0000"/>
      <name val="Calibri"/>
      <family val="2"/>
      <scheme val="minor"/>
    </font>
    <font>
      <b/>
      <i/>
      <u/>
      <sz val="9"/>
      <color theme="1"/>
      <name val="Calibri"/>
      <family val="2"/>
    </font>
    <font>
      <sz val="9"/>
      <color rgb="FFFF0000"/>
      <name val="Calibri"/>
      <family val="2"/>
    </font>
    <font>
      <sz val="9"/>
      <name val="Calibri"/>
      <family val="2"/>
    </font>
    <font>
      <sz val="9"/>
      <color theme="1"/>
      <name val="Calibri"/>
      <family val="2"/>
    </font>
    <font>
      <b/>
      <i/>
      <u/>
      <sz val="9"/>
      <name val="Calibri"/>
      <family val="2"/>
    </font>
    <font>
      <b/>
      <sz val="8"/>
      <color rgb="FFFF0000"/>
      <name val="Calibri"/>
      <family val="2"/>
      <scheme val="minor"/>
    </font>
    <font>
      <b/>
      <sz val="9"/>
      <color theme="1"/>
      <name val="Calibri"/>
      <family val="2"/>
    </font>
    <font>
      <i/>
      <sz val="9"/>
      <name val="Calibri"/>
      <family val="2"/>
    </font>
    <font>
      <b/>
      <i/>
      <u/>
      <sz val="10"/>
      <color theme="1"/>
      <name val="Calibri"/>
      <family val="2"/>
    </font>
    <font>
      <b/>
      <i/>
      <u/>
      <sz val="8"/>
      <name val="Calibri"/>
      <family val="2"/>
      <scheme val="minor"/>
    </font>
    <font>
      <i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</font>
    <font>
      <b/>
      <u/>
      <sz val="8"/>
      <color theme="1"/>
      <name val="Calibri"/>
      <family val="2"/>
    </font>
    <font>
      <b/>
      <i/>
      <u/>
      <sz val="8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8"/>
      <color theme="1"/>
      <name val="Calibri"/>
      <family val="2"/>
    </font>
    <font>
      <sz val="8"/>
      <color rgb="FFFF0000"/>
      <name val="Calibri"/>
      <family val="2"/>
    </font>
    <font>
      <sz val="8"/>
      <name val="Calibri"/>
      <family val="2"/>
    </font>
    <font>
      <b/>
      <sz val="8"/>
      <color rgb="FFFF0000"/>
      <name val="Calibri"/>
      <family val="2"/>
    </font>
    <font>
      <b/>
      <sz val="18"/>
      <color theme="1"/>
      <name val="Calibri"/>
      <family val="2"/>
      <scheme val="minor"/>
    </font>
    <font>
      <sz val="8"/>
      <color rgb="FFFF000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u/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</font>
    <font>
      <sz val="10"/>
      <color rgb="FFFF0000"/>
      <name val="Calibri"/>
      <family val="2"/>
      <scheme val="minor"/>
    </font>
    <font>
      <sz val="8"/>
      <color rgb="FFFF0000"/>
      <name val="Calibri"/>
      <family val="2"/>
    </font>
    <font>
      <b/>
      <u/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9EBA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11">
    <xf numFmtId="0" fontId="0" fillId="0" borderId="0" xfId="0"/>
    <xf numFmtId="0" fontId="0" fillId="0" borderId="1" xfId="0" applyBorder="1"/>
    <xf numFmtId="0" fontId="1" fillId="0" borderId="1" xfId="0" applyFont="1" applyBorder="1"/>
    <xf numFmtId="8" fontId="0" fillId="0" borderId="0" xfId="0" applyNumberFormat="1"/>
    <xf numFmtId="0" fontId="0" fillId="4" borderId="1" xfId="0" applyFill="1" applyBorder="1"/>
    <xf numFmtId="0" fontId="0" fillId="6" borderId="0" xfId="0" applyFill="1"/>
    <xf numFmtId="8" fontId="0" fillId="5" borderId="0" xfId="0" applyNumberFormat="1" applyFill="1"/>
    <xf numFmtId="0" fontId="0" fillId="5" borderId="0" xfId="0" applyFill="1"/>
    <xf numFmtId="44" fontId="0" fillId="0" borderId="0" xfId="1" applyFont="1"/>
    <xf numFmtId="164" fontId="0" fillId="0" borderId="0" xfId="0" applyNumberFormat="1"/>
    <xf numFmtId="0" fontId="4" fillId="0" borderId="0" xfId="0" applyFont="1"/>
    <xf numFmtId="164" fontId="4" fillId="0" borderId="0" xfId="0" applyNumberFormat="1" applyFont="1"/>
    <xf numFmtId="164" fontId="0" fillId="0" borderId="3" xfId="0" applyNumberFormat="1" applyBorder="1"/>
    <xf numFmtId="0" fontId="5" fillId="0" borderId="0" xfId="0" applyFont="1"/>
    <xf numFmtId="166" fontId="0" fillId="0" borderId="0" xfId="0" applyNumberFormat="1"/>
    <xf numFmtId="166" fontId="0" fillId="0" borderId="1" xfId="0" applyNumberForma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0" borderId="0" xfId="0" applyFont="1"/>
    <xf numFmtId="166" fontId="8" fillId="0" borderId="0" xfId="0" applyNumberFormat="1" applyFont="1"/>
    <xf numFmtId="166" fontId="7" fillId="0" borderId="0" xfId="0" applyNumberFormat="1" applyFont="1"/>
    <xf numFmtId="0" fontId="7" fillId="0" borderId="0" xfId="0" applyFont="1" applyAlignment="1">
      <alignment horizontal="left"/>
    </xf>
    <xf numFmtId="44" fontId="0" fillId="0" borderId="0" xfId="0" applyNumberFormat="1"/>
    <xf numFmtId="0" fontId="0" fillId="7" borderId="0" xfId="0" applyFill="1"/>
    <xf numFmtId="0" fontId="14" fillId="0" borderId="0" xfId="0" applyFont="1"/>
    <xf numFmtId="0" fontId="0" fillId="4" borderId="1" xfId="0" applyFill="1" applyBorder="1" applyAlignment="1">
      <alignment vertical="top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left"/>
    </xf>
    <xf numFmtId="0" fontId="6" fillId="8" borderId="0" xfId="0" applyFont="1" applyFill="1" applyAlignment="1">
      <alignment horizontal="center"/>
    </xf>
    <xf numFmtId="0" fontId="17" fillId="0" borderId="0" xfId="0" applyFont="1" applyAlignment="1">
      <alignment horizontal="left"/>
    </xf>
    <xf numFmtId="2" fontId="0" fillId="0" borderId="0" xfId="0" applyNumberFormat="1"/>
    <xf numFmtId="0" fontId="3" fillId="8" borderId="0" xfId="0" applyFont="1" applyFill="1" applyAlignment="1">
      <alignment horizontal="left"/>
    </xf>
    <xf numFmtId="0" fontId="0" fillId="8" borderId="0" xfId="0" applyFill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0" fillId="0" borderId="0" xfId="0" applyFont="1" applyAlignment="1">
      <alignment horizontal="left"/>
    </xf>
    <xf numFmtId="0" fontId="21" fillId="0" borderId="0" xfId="0" applyFont="1"/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6" fontId="0" fillId="8" borderId="0" xfId="0" applyNumberFormat="1" applyFill="1"/>
    <xf numFmtId="0" fontId="12" fillId="0" borderId="0" xfId="0" applyFont="1" applyAlignment="1">
      <alignment horizontal="left" wrapText="1"/>
    </xf>
    <xf numFmtId="17" fontId="0" fillId="0" borderId="0" xfId="0" applyNumberFormat="1"/>
    <xf numFmtId="0" fontId="15" fillId="10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18" fillId="0" borderId="0" xfId="0" applyFont="1"/>
    <xf numFmtId="0" fontId="22" fillId="0" borderId="0" xfId="0" applyFont="1" applyAlignment="1">
      <alignment horizontal="left"/>
    </xf>
    <xf numFmtId="0" fontId="16" fillId="0" borderId="0" xfId="0" applyFont="1" applyAlignment="1">
      <alignment horizontal="left" wrapText="1"/>
    </xf>
    <xf numFmtId="0" fontId="0" fillId="0" borderId="0" xfId="0" applyAlignment="1">
      <alignment horizontal="right"/>
    </xf>
    <xf numFmtId="0" fontId="12" fillId="11" borderId="0" xfId="0" applyFont="1" applyFill="1" applyAlignment="1">
      <alignment horizontal="left" vertical="center"/>
    </xf>
    <xf numFmtId="0" fontId="25" fillId="0" borderId="0" xfId="0" applyFont="1" applyAlignment="1">
      <alignment wrapText="1"/>
    </xf>
    <xf numFmtId="0" fontId="18" fillId="0" borderId="0" xfId="0" applyFont="1" applyAlignment="1">
      <alignment horizontal="left"/>
    </xf>
    <xf numFmtId="0" fontId="0" fillId="8" borderId="0" xfId="0" applyFill="1" applyAlignment="1">
      <alignment horizontal="right"/>
    </xf>
    <xf numFmtId="0" fontId="0" fillId="12" borderId="0" xfId="0" applyFill="1" applyAlignment="1">
      <alignment horizontal="left"/>
    </xf>
    <xf numFmtId="0" fontId="20" fillId="0" borderId="0" xfId="0" applyFont="1"/>
    <xf numFmtId="0" fontId="23" fillId="0" borderId="0" xfId="0" applyFont="1"/>
    <xf numFmtId="0" fontId="16" fillId="0" borderId="0" xfId="0" applyFont="1" applyAlignment="1">
      <alignment horizontal="left" vertical="center"/>
    </xf>
    <xf numFmtId="0" fontId="26" fillId="11" borderId="0" xfId="0" applyFont="1" applyFill="1" applyAlignment="1">
      <alignment horizontal="left"/>
    </xf>
    <xf numFmtId="0" fontId="29" fillId="11" borderId="0" xfId="0" applyFont="1" applyFill="1"/>
    <xf numFmtId="0" fontId="27" fillId="0" borderId="0" xfId="0" applyFont="1"/>
    <xf numFmtId="0" fontId="28" fillId="0" borderId="0" xfId="0" applyFont="1"/>
    <xf numFmtId="0" fontId="0" fillId="0" borderId="0" xfId="0" applyAlignment="1">
      <alignment horizontal="left" wrapText="1"/>
    </xf>
    <xf numFmtId="0" fontId="24" fillId="0" borderId="0" xfId="0" applyFont="1" applyAlignment="1">
      <alignment horizontal="left"/>
    </xf>
    <xf numFmtId="0" fontId="31" fillId="0" borderId="0" xfId="0" applyFont="1"/>
    <xf numFmtId="0" fontId="30" fillId="0" borderId="0" xfId="0" applyFont="1"/>
    <xf numFmtId="0" fontId="32" fillId="0" borderId="0" xfId="0" applyFont="1"/>
    <xf numFmtId="0" fontId="19" fillId="0" borderId="0" xfId="0" applyFont="1" applyAlignment="1">
      <alignment horizontal="left"/>
    </xf>
    <xf numFmtId="0" fontId="9" fillId="0" borderId="0" xfId="0" applyFont="1"/>
    <xf numFmtId="0" fontId="33" fillId="11" borderId="0" xfId="0" applyFont="1" applyFill="1" applyAlignment="1">
      <alignment horizontal="left"/>
    </xf>
    <xf numFmtId="0" fontId="34" fillId="11" borderId="0" xfId="0" applyFont="1" applyFill="1" applyAlignment="1">
      <alignment horizontal="right"/>
    </xf>
    <xf numFmtId="0" fontId="0" fillId="0" borderId="0" xfId="0" applyAlignment="1">
      <alignment wrapText="1"/>
    </xf>
    <xf numFmtId="0" fontId="35" fillId="0" borderId="0" xfId="0" applyFont="1" applyAlignment="1">
      <alignment horizontal="left" wrapText="1"/>
    </xf>
    <xf numFmtId="0" fontId="0" fillId="13" borderId="1" xfId="0" applyFill="1" applyBorder="1"/>
    <xf numFmtId="166" fontId="0" fillId="13" borderId="1" xfId="0" applyNumberFormat="1" applyFill="1" applyBorder="1"/>
    <xf numFmtId="166" fontId="18" fillId="13" borderId="1" xfId="0" applyNumberFormat="1" applyFont="1" applyFill="1" applyBorder="1"/>
    <xf numFmtId="0" fontId="15" fillId="0" borderId="0" xfId="0" applyFont="1" applyAlignment="1">
      <alignment horizontal="left"/>
    </xf>
    <xf numFmtId="0" fontId="33" fillId="0" borderId="0" xfId="0" quotePrefix="1" applyFont="1" applyAlignment="1">
      <alignment horizontal="left"/>
    </xf>
    <xf numFmtId="0" fontId="8" fillId="8" borderId="0" xfId="0" applyFont="1" applyFill="1" applyAlignment="1">
      <alignment horizontal="left"/>
    </xf>
    <xf numFmtId="0" fontId="33" fillId="0" borderId="0" xfId="0" applyFont="1"/>
    <xf numFmtId="0" fontId="36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5" fillId="11" borderId="0" xfId="0" applyFont="1" applyFill="1"/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3" fillId="11" borderId="0" xfId="0" applyFont="1" applyFill="1" applyAlignment="1">
      <alignment horizontal="left" vertical="center"/>
    </xf>
    <xf numFmtId="0" fontId="40" fillId="11" borderId="0" xfId="0" applyFont="1" applyFill="1" applyAlignment="1">
      <alignment horizontal="right"/>
    </xf>
    <xf numFmtId="0" fontId="33" fillId="11" borderId="0" xfId="0" applyFont="1" applyFill="1"/>
    <xf numFmtId="0" fontId="19" fillId="11" borderId="0" xfId="0" applyFont="1" applyFill="1" applyAlignment="1">
      <alignment horizontal="left"/>
    </xf>
    <xf numFmtId="166" fontId="13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center" vertical="center"/>
    </xf>
    <xf numFmtId="0" fontId="41" fillId="0" borderId="0" xfId="0" applyFont="1"/>
    <xf numFmtId="0" fontId="12" fillId="11" borderId="0" xfId="0" applyFont="1" applyFill="1"/>
    <xf numFmtId="0" fontId="33" fillId="11" borderId="0" xfId="0" applyFont="1" applyFill="1" applyAlignment="1">
      <alignment horizontal="right"/>
    </xf>
    <xf numFmtId="0" fontId="16" fillId="11" borderId="0" xfId="0" applyFont="1" applyFill="1" applyAlignment="1">
      <alignment horizontal="left" wrapText="1"/>
    </xf>
    <xf numFmtId="0" fontId="33" fillId="11" borderId="0" xfId="0" quotePrefix="1" applyFont="1" applyFill="1" applyAlignment="1">
      <alignment horizontal="left"/>
    </xf>
    <xf numFmtId="0" fontId="12" fillId="11" borderId="0" xfId="0" quotePrefix="1" applyFont="1" applyFill="1" applyAlignment="1">
      <alignment horizontal="left"/>
    </xf>
    <xf numFmtId="0" fontId="15" fillId="0" borderId="0" xfId="0" applyFont="1"/>
    <xf numFmtId="0" fontId="7" fillId="7" borderId="0" xfId="0" applyFont="1" applyFill="1" applyAlignment="1">
      <alignment horizontal="left"/>
    </xf>
    <xf numFmtId="0" fontId="42" fillId="0" borderId="0" xfId="0" applyFont="1" applyAlignment="1">
      <alignment horizontal="left"/>
    </xf>
    <xf numFmtId="2" fontId="7" fillId="0" borderId="0" xfId="0" applyNumberFormat="1" applyFont="1" applyAlignment="1">
      <alignment horizontal="left"/>
    </xf>
    <xf numFmtId="0" fontId="43" fillId="0" borderId="0" xfId="0" applyFont="1" applyAlignment="1">
      <alignment horizontal="left"/>
    </xf>
    <xf numFmtId="0" fontId="6" fillId="7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right"/>
    </xf>
    <xf numFmtId="0" fontId="16" fillId="0" borderId="0" xfId="0" applyFont="1"/>
    <xf numFmtId="0" fontId="16" fillId="15" borderId="0" xfId="0" applyFont="1" applyFill="1" applyAlignment="1">
      <alignment horizontal="left" wrapText="1"/>
    </xf>
    <xf numFmtId="0" fontId="44" fillId="7" borderId="0" xfId="0" applyFont="1" applyFill="1" applyAlignment="1">
      <alignment horizontal="left" wrapText="1"/>
    </xf>
    <xf numFmtId="0" fontId="45" fillId="11" borderId="0" xfId="0" applyFont="1" applyFill="1" applyAlignment="1">
      <alignment horizontal="left"/>
    </xf>
    <xf numFmtId="0" fontId="45" fillId="11" borderId="0" xfId="0" applyFont="1" applyFill="1" applyAlignment="1">
      <alignment horizontal="left" vertical="center"/>
    </xf>
    <xf numFmtId="0" fontId="46" fillId="11" borderId="0" xfId="0" applyFont="1" applyFill="1"/>
    <xf numFmtId="0" fontId="45" fillId="11" borderId="0" xfId="0" applyFont="1" applyFill="1" applyAlignment="1">
      <alignment horizontal="right"/>
    </xf>
    <xf numFmtId="0" fontId="45" fillId="11" borderId="0" xfId="0" applyFont="1" applyFill="1"/>
    <xf numFmtId="0" fontId="48" fillId="0" borderId="0" xfId="0" applyFont="1"/>
    <xf numFmtId="0" fontId="35" fillId="7" borderId="0" xfId="0" applyFont="1" applyFill="1" applyAlignment="1">
      <alignment horizontal="left" wrapText="1"/>
    </xf>
    <xf numFmtId="0" fontId="34" fillId="7" borderId="0" xfId="0" applyFont="1" applyFill="1" applyAlignment="1">
      <alignment horizontal="center" vertical="center"/>
    </xf>
    <xf numFmtId="4" fontId="16" fillId="14" borderId="0" xfId="0" applyNumberFormat="1" applyFont="1" applyFill="1" applyAlignment="1">
      <alignment horizontal="left"/>
    </xf>
    <xf numFmtId="0" fontId="16" fillId="14" borderId="0" xfId="0" applyFont="1" applyFill="1" applyAlignment="1">
      <alignment horizontal="left"/>
    </xf>
    <xf numFmtId="0" fontId="12" fillId="11" borderId="0" xfId="0" applyFont="1" applyFill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7" borderId="16" xfId="0" applyFill="1" applyBorder="1"/>
    <xf numFmtId="2" fontId="0" fillId="0" borderId="1" xfId="0" applyNumberForma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49" fillId="11" borderId="0" xfId="0" applyFont="1" applyFill="1" applyAlignment="1">
      <alignment horizontal="right"/>
    </xf>
    <xf numFmtId="0" fontId="50" fillId="0" borderId="0" xfId="0" applyFont="1" applyAlignment="1">
      <alignment horizontal="left"/>
    </xf>
    <xf numFmtId="0" fontId="26" fillId="11" borderId="0" xfId="0" applyFont="1" applyFill="1"/>
    <xf numFmtId="0" fontId="51" fillId="9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0" fontId="15" fillId="11" borderId="0" xfId="0" applyFont="1" applyFill="1" applyAlignment="1">
      <alignment horizontal="left"/>
    </xf>
    <xf numFmtId="0" fontId="3" fillId="0" borderId="0" xfId="0" applyFont="1"/>
    <xf numFmtId="0" fontId="10" fillId="0" borderId="0" xfId="0" applyFont="1"/>
    <xf numFmtId="0" fontId="25" fillId="11" borderId="0" xfId="0" applyFont="1" applyFill="1" applyAlignment="1">
      <alignment horizontal="left"/>
    </xf>
    <xf numFmtId="0" fontId="59" fillId="7" borderId="0" xfId="0" applyFont="1" applyFill="1" applyAlignment="1">
      <alignment horizontal="center"/>
    </xf>
    <xf numFmtId="0" fontId="16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5" fillId="0" borderId="0" xfId="0" applyFont="1" applyAlignment="1">
      <alignment horizontal="left" vertical="center"/>
    </xf>
    <xf numFmtId="0" fontId="13" fillId="0" borderId="0" xfId="0" applyFont="1"/>
    <xf numFmtId="0" fontId="26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69" fillId="0" borderId="0" xfId="0" applyFont="1" applyAlignment="1">
      <alignment horizontal="left"/>
    </xf>
    <xf numFmtId="0" fontId="26" fillId="0" borderId="0" xfId="0" applyFont="1"/>
    <xf numFmtId="0" fontId="12" fillId="0" borderId="0" xfId="0" quotePrefix="1" applyFont="1" applyAlignment="1">
      <alignment horizontal="left"/>
    </xf>
    <xf numFmtId="0" fontId="68" fillId="0" borderId="0" xfId="0" applyFont="1" applyAlignment="1">
      <alignment horizontal="left"/>
    </xf>
    <xf numFmtId="0" fontId="33" fillId="0" borderId="0" xfId="0" applyFont="1" applyAlignment="1">
      <alignment horizontal="right"/>
    </xf>
    <xf numFmtId="0" fontId="12" fillId="0" borderId="0" xfId="0" applyFont="1"/>
    <xf numFmtId="0" fontId="34" fillId="0" borderId="0" xfId="0" applyFont="1"/>
    <xf numFmtId="0" fontId="26" fillId="0" borderId="0" xfId="0" applyFont="1" applyAlignment="1">
      <alignment horizontal="right"/>
    </xf>
    <xf numFmtId="0" fontId="40" fillId="0" borderId="0" xfId="0" applyFont="1"/>
    <xf numFmtId="0" fontId="34" fillId="0" borderId="0" xfId="0" applyFont="1" applyAlignment="1">
      <alignment horizontal="center"/>
    </xf>
    <xf numFmtId="0" fontId="60" fillId="0" borderId="0" xfId="0" applyFont="1" applyAlignment="1">
      <alignment horizontal="right"/>
    </xf>
    <xf numFmtId="0" fontId="51" fillId="0" borderId="0" xfId="0" applyFont="1" applyAlignment="1">
      <alignment horizontal="center"/>
    </xf>
    <xf numFmtId="0" fontId="53" fillId="0" borderId="0" xfId="0" applyFont="1"/>
    <xf numFmtId="0" fontId="53" fillId="0" borderId="0" xfId="0" applyFont="1" applyAlignment="1">
      <alignment horizontal="right"/>
    </xf>
    <xf numFmtId="0" fontId="54" fillId="0" borderId="0" xfId="0" applyFont="1"/>
    <xf numFmtId="0" fontId="63" fillId="0" borderId="0" xfId="0" applyFont="1"/>
    <xf numFmtId="0" fontId="55" fillId="0" borderId="0" xfId="0" applyFont="1"/>
    <xf numFmtId="0" fontId="53" fillId="0" borderId="0" xfId="0" applyFont="1" applyAlignment="1">
      <alignment horizontal="left"/>
    </xf>
    <xf numFmtId="0" fontId="54" fillId="0" borderId="0" xfId="0" applyFont="1" applyAlignment="1">
      <alignment horizontal="left"/>
    </xf>
    <xf numFmtId="0" fontId="58" fillId="0" borderId="0" xfId="0" applyFont="1"/>
    <xf numFmtId="0" fontId="52" fillId="0" borderId="0" xfId="0" applyFont="1"/>
    <xf numFmtId="0" fontId="52" fillId="0" borderId="0" xfId="0" applyFont="1" applyAlignment="1">
      <alignment horizontal="right"/>
    </xf>
    <xf numFmtId="0" fontId="69" fillId="0" borderId="0" xfId="0" applyFont="1"/>
    <xf numFmtId="0" fontId="68" fillId="0" borderId="0" xfId="0" applyFont="1"/>
    <xf numFmtId="0" fontId="54" fillId="0" borderId="0" xfId="0" applyFont="1" applyAlignment="1">
      <alignment horizontal="left" vertical="center"/>
    </xf>
    <xf numFmtId="0" fontId="67" fillId="0" borderId="0" xfId="0" applyFont="1" applyAlignment="1">
      <alignment horizontal="left"/>
    </xf>
    <xf numFmtId="0" fontId="52" fillId="0" borderId="0" xfId="0" applyFont="1" applyAlignment="1">
      <alignment horizontal="left" vertical="center"/>
    </xf>
    <xf numFmtId="0" fontId="66" fillId="0" borderId="0" xfId="0" applyFont="1"/>
    <xf numFmtId="0" fontId="63" fillId="0" borderId="0" xfId="0" applyFont="1" applyAlignment="1">
      <alignment horizontal="left"/>
    </xf>
    <xf numFmtId="0" fontId="55" fillId="0" borderId="0" xfId="0" applyFont="1" applyAlignment="1">
      <alignment horizontal="right"/>
    </xf>
    <xf numFmtId="0" fontId="19" fillId="0" borderId="0" xfId="0" applyFont="1"/>
    <xf numFmtId="0" fontId="40" fillId="0" borderId="0" xfId="0" applyFont="1" applyAlignment="1">
      <alignment horizontal="right"/>
    </xf>
    <xf numFmtId="0" fontId="62" fillId="0" borderId="0" xfId="0" applyFont="1" applyAlignment="1">
      <alignment horizontal="left"/>
    </xf>
    <xf numFmtId="0" fontId="65" fillId="0" borderId="0" xfId="0" applyFont="1"/>
    <xf numFmtId="0" fontId="20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15" fillId="0" borderId="0" xfId="0" quotePrefix="1" applyFont="1" applyAlignment="1">
      <alignment horizontal="left"/>
    </xf>
    <xf numFmtId="0" fontId="51" fillId="0" borderId="0" xfId="0" applyFont="1"/>
    <xf numFmtId="0" fontId="64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61" fillId="0" borderId="0" xfId="0" applyFont="1"/>
    <xf numFmtId="0" fontId="62" fillId="0" borderId="0" xfId="0" applyFont="1"/>
    <xf numFmtId="0" fontId="60" fillId="0" borderId="0" xfId="0" applyFont="1"/>
    <xf numFmtId="6" fontId="55" fillId="0" borderId="0" xfId="0" applyNumberFormat="1" applyFont="1"/>
    <xf numFmtId="6" fontId="63" fillId="0" borderId="0" xfId="0" applyNumberFormat="1" applyFont="1"/>
    <xf numFmtId="0" fontId="53" fillId="0" borderId="0" xfId="0" applyFont="1" applyAlignment="1">
      <alignment horizontal="left" vertical="center" wrapText="1"/>
    </xf>
    <xf numFmtId="0" fontId="67" fillId="0" borderId="0" xfId="0" applyFont="1" applyAlignment="1">
      <alignment horizontal="left" vertical="center" wrapText="1"/>
    </xf>
    <xf numFmtId="0" fontId="68" fillId="0" borderId="0" xfId="0" applyFont="1" applyAlignment="1">
      <alignment vertical="center" wrapText="1"/>
    </xf>
    <xf numFmtId="0" fontId="57" fillId="0" borderId="0" xfId="0" applyFont="1" applyAlignment="1">
      <alignment horizontal="center"/>
    </xf>
    <xf numFmtId="0" fontId="42" fillId="0" borderId="0" xfId="0" applyFont="1"/>
    <xf numFmtId="0" fontId="26" fillId="11" borderId="0" xfId="0" applyFont="1" applyFill="1" applyAlignment="1">
      <alignment horizontal="right"/>
    </xf>
    <xf numFmtId="0" fontId="6" fillId="7" borderId="0" xfId="0" applyFont="1" applyFill="1"/>
    <xf numFmtId="0" fontId="33" fillId="11" borderId="0" xfId="0" applyFont="1" applyFill="1" applyAlignment="1">
      <alignment horizontal="left" vertical="center" wrapText="1"/>
    </xf>
    <xf numFmtId="0" fontId="19" fillId="11" borderId="0" xfId="0" applyFont="1" applyFill="1"/>
    <xf numFmtId="0" fontId="0" fillId="11" borderId="0" xfId="0" applyFill="1"/>
    <xf numFmtId="0" fontId="12" fillId="11" borderId="0" xfId="0" applyFont="1" applyFill="1" applyAlignment="1">
      <alignment horizontal="left" vertical="center" wrapText="1"/>
    </xf>
    <xf numFmtId="0" fontId="26" fillId="11" borderId="0" xfId="0" applyFont="1" applyFill="1" applyAlignment="1">
      <alignment horizontal="left" vertical="center" wrapText="1"/>
    </xf>
    <xf numFmtId="0" fontId="70" fillId="0" borderId="0" xfId="0" applyFont="1"/>
    <xf numFmtId="0" fontId="15" fillId="11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0" fontId="25" fillId="11" borderId="0" xfId="0" applyFont="1" applyFill="1" applyAlignment="1">
      <alignment horizontal="left" vertical="center"/>
    </xf>
    <xf numFmtId="0" fontId="15" fillId="11" borderId="0" xfId="0" quotePrefix="1" applyFont="1" applyFill="1" applyAlignment="1">
      <alignment horizontal="left"/>
    </xf>
    <xf numFmtId="0" fontId="26" fillId="11" borderId="0" xfId="0" applyFont="1" applyFill="1" applyAlignment="1">
      <alignment horizontal="left" vertical="center"/>
    </xf>
    <xf numFmtId="0" fontId="20" fillId="8" borderId="0" xfId="0" applyFont="1" applyFill="1"/>
    <xf numFmtId="0" fontId="47" fillId="8" borderId="0" xfId="0" applyFont="1" applyFill="1"/>
    <xf numFmtId="0" fontId="0" fillId="8" borderId="15" xfId="0" applyFill="1" applyBorder="1"/>
    <xf numFmtId="0" fontId="7" fillId="8" borderId="0" xfId="0" applyFont="1" applyFill="1"/>
    <xf numFmtId="0" fontId="0" fillId="8" borderId="0" xfId="0" applyFill="1"/>
    <xf numFmtId="0" fontId="46" fillId="0" borderId="0" xfId="0" applyFont="1" applyAlignment="1">
      <alignment vertical="center"/>
    </xf>
    <xf numFmtId="4" fontId="16" fillId="0" borderId="0" xfId="0" applyNumberFormat="1" applyFont="1" applyAlignment="1">
      <alignment horizontal="left"/>
    </xf>
    <xf numFmtId="0" fontId="6" fillId="8" borderId="0" xfId="0" applyFont="1" applyFill="1" applyAlignment="1">
      <alignment horizontal="left"/>
    </xf>
    <xf numFmtId="0" fontId="0" fillId="16" borderId="0" xfId="0" applyFill="1"/>
    <xf numFmtId="0" fontId="0" fillId="7" borderId="1" xfId="0" applyFill="1" applyBorder="1"/>
    <xf numFmtId="6" fontId="0" fillId="7" borderId="1" xfId="0" applyNumberFormat="1" applyFill="1" applyBorder="1"/>
    <xf numFmtId="0" fontId="71" fillId="0" borderId="0" xfId="0" applyFont="1"/>
    <xf numFmtId="1" fontId="0" fillId="0" borderId="0" xfId="0" applyNumberFormat="1" applyAlignment="1">
      <alignment horizontal="right"/>
    </xf>
    <xf numFmtId="0" fontId="72" fillId="11" borderId="0" xfId="0" applyFont="1" applyFill="1"/>
    <xf numFmtId="0" fontId="72" fillId="11" borderId="0" xfId="0" applyFont="1" applyFill="1" applyAlignment="1">
      <alignment horizontal="right"/>
    </xf>
    <xf numFmtId="0" fontId="73" fillId="11" borderId="0" xfId="0" applyFont="1" applyFill="1"/>
    <xf numFmtId="0" fontId="74" fillId="11" borderId="0" xfId="0" applyFont="1" applyFill="1"/>
    <xf numFmtId="0" fontId="75" fillId="11" borderId="0" xfId="0" applyFont="1" applyFill="1"/>
    <xf numFmtId="0" fontId="21" fillId="11" borderId="0" xfId="0" applyFont="1" applyFill="1"/>
    <xf numFmtId="0" fontId="0" fillId="11" borderId="17" xfId="0" applyFill="1" applyBorder="1"/>
    <xf numFmtId="0" fontId="12" fillId="0" borderId="0" xfId="0" applyFont="1" applyAlignment="1">
      <alignment vertical="center"/>
    </xf>
    <xf numFmtId="6" fontId="0" fillId="0" borderId="0" xfId="0" applyNumberFormat="1"/>
    <xf numFmtId="0" fontId="18" fillId="16" borderId="0" xfId="0" applyFont="1" applyFill="1" applyAlignment="1">
      <alignment horizontal="center"/>
    </xf>
    <xf numFmtId="0" fontId="8" fillId="16" borderId="0" xfId="0" applyFont="1" applyFill="1" applyAlignment="1">
      <alignment horizontal="center"/>
    </xf>
    <xf numFmtId="0" fontId="76" fillId="0" borderId="0" xfId="0" applyFont="1" applyAlignment="1">
      <alignment horizontal="left"/>
    </xf>
    <xf numFmtId="0" fontId="0" fillId="16" borderId="0" xfId="0" applyFill="1" applyAlignment="1">
      <alignment horizontal="center"/>
    </xf>
    <xf numFmtId="0" fontId="18" fillId="16" borderId="0" xfId="0" applyFont="1" applyFill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0" fontId="77" fillId="16" borderId="0" xfId="0" applyFont="1" applyFill="1" applyAlignment="1">
      <alignment horizontal="left"/>
    </xf>
    <xf numFmtId="0" fontId="29" fillId="16" borderId="0" xfId="0" applyFont="1" applyFill="1" applyAlignment="1">
      <alignment horizontal="left"/>
    </xf>
    <xf numFmtId="0" fontId="6" fillId="16" borderId="0" xfId="0" applyFont="1" applyFill="1"/>
    <xf numFmtId="0" fontId="33" fillId="16" borderId="0" xfId="0" applyFont="1" applyFill="1" applyAlignment="1">
      <alignment horizontal="left"/>
    </xf>
    <xf numFmtId="0" fontId="78" fillId="16" borderId="0" xfId="0" applyFont="1" applyFill="1" applyAlignment="1">
      <alignment horizontal="left"/>
    </xf>
    <xf numFmtId="0" fontId="76" fillId="16" borderId="0" xfId="0" applyFont="1" applyFill="1"/>
    <xf numFmtId="0" fontId="12" fillId="16" borderId="0" xfId="0" applyFont="1" applyFill="1" applyAlignment="1">
      <alignment horizontal="left"/>
    </xf>
    <xf numFmtId="0" fontId="77" fillId="16" borderId="0" xfId="0" applyFont="1" applyFill="1"/>
    <xf numFmtId="0" fontId="79" fillId="16" borderId="0" xfId="0" applyFont="1" applyFill="1"/>
    <xf numFmtId="0" fontId="76" fillId="16" borderId="0" xfId="0" applyFont="1" applyFill="1" applyAlignment="1">
      <alignment horizontal="left"/>
    </xf>
    <xf numFmtId="0" fontId="80" fillId="16" borderId="0" xfId="0" applyFont="1" applyFill="1" applyAlignment="1">
      <alignment horizontal="left" vertical="center"/>
    </xf>
    <xf numFmtId="2" fontId="18" fillId="16" borderId="0" xfId="0" applyNumberFormat="1" applyFont="1" applyFill="1" applyAlignment="1">
      <alignment horizontal="center"/>
    </xf>
    <xf numFmtId="4" fontId="16" fillId="11" borderId="0" xfId="0" applyNumberFormat="1" applyFont="1" applyFill="1" applyAlignment="1">
      <alignment horizontal="left"/>
    </xf>
    <xf numFmtId="0" fontId="16" fillId="11" borderId="0" xfId="0" applyFont="1" applyFill="1" applyAlignment="1">
      <alignment horizontal="left"/>
    </xf>
    <xf numFmtId="2" fontId="7" fillId="0" borderId="0" xfId="0" applyNumberFormat="1" applyFont="1" applyAlignment="1">
      <alignment horizontal="right"/>
    </xf>
    <xf numFmtId="6" fontId="0" fillId="7" borderId="0" xfId="0" applyNumberFormat="1" applyFill="1"/>
    <xf numFmtId="0" fontId="0" fillId="7" borderId="14" xfId="0" applyFill="1" applyBorder="1"/>
    <xf numFmtId="0" fontId="0" fillId="7" borderId="10" xfId="0" applyFill="1" applyBorder="1"/>
    <xf numFmtId="0" fontId="81" fillId="11" borderId="0" xfId="0" applyFont="1" applyFill="1" applyAlignment="1">
      <alignment horizontal="left" vertical="center" wrapText="1"/>
    </xf>
    <xf numFmtId="0" fontId="0" fillId="8" borderId="0" xfId="0" applyFill="1" applyAlignment="1">
      <alignment horizontal="left" wrapText="1"/>
    </xf>
    <xf numFmtId="0" fontId="3" fillId="7" borderId="10" xfId="0" applyFont="1" applyFill="1" applyBorder="1"/>
    <xf numFmtId="0" fontId="21" fillId="5" borderId="0" xfId="0" applyFont="1" applyFill="1"/>
    <xf numFmtId="0" fontId="21" fillId="5" borderId="17" xfId="0" applyFont="1" applyFill="1" applyBorder="1"/>
    <xf numFmtId="0" fontId="0" fillId="5" borderId="17" xfId="0" applyFill="1" applyBorder="1"/>
    <xf numFmtId="0" fontId="3" fillId="5" borderId="0" xfId="0" applyFont="1" applyFill="1"/>
    <xf numFmtId="0" fontId="82" fillId="11" borderId="0" xfId="0" applyFont="1" applyFill="1"/>
    <xf numFmtId="0" fontId="15" fillId="9" borderId="0" xfId="0" applyFont="1" applyFill="1" applyAlignment="1">
      <alignment horizontal="left" vertical="center"/>
    </xf>
    <xf numFmtId="0" fontId="52" fillId="0" borderId="0" xfId="0" applyFont="1" applyAlignment="1">
      <alignment horizontal="left"/>
    </xf>
    <xf numFmtId="0" fontId="19" fillId="11" borderId="0" xfId="0" applyFont="1" applyFill="1" applyAlignment="1">
      <alignment horizontal="left" vertical="center"/>
    </xf>
    <xf numFmtId="0" fontId="33" fillId="11" borderId="0" xfId="0" applyFont="1" applyFill="1" applyAlignment="1">
      <alignment horizontal="left" wrapText="1"/>
    </xf>
    <xf numFmtId="0" fontId="70" fillId="0" borderId="0" xfId="0" applyFont="1" applyAlignment="1">
      <alignment horizontal="right" vertical="center"/>
    </xf>
    <xf numFmtId="0" fontId="70" fillId="8" borderId="0" xfId="0" applyFont="1" applyFill="1"/>
    <xf numFmtId="0" fontId="73" fillId="11" borderId="0" xfId="0" applyFont="1" applyFill="1" applyAlignment="1">
      <alignment horizontal="left"/>
    </xf>
    <xf numFmtId="165" fontId="1" fillId="0" borderId="1" xfId="0" applyNumberFormat="1" applyFont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25" fillId="0" borderId="8" xfId="0" applyFont="1" applyBorder="1" applyAlignment="1">
      <alignment horizontal="left" wrapText="1"/>
    </xf>
    <xf numFmtId="0" fontId="25" fillId="0" borderId="0" xfId="0" applyFont="1" applyAlignment="1">
      <alignment horizontal="left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2</xdr:col>
      <xdr:colOff>438581</xdr:colOff>
      <xdr:row>34</xdr:row>
      <xdr:rowOff>139109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9C2CC0-D619-0476-FB4B-A3358B583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12180"/>
          <a:ext cx="4968671" cy="5105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2</xdr:col>
      <xdr:colOff>434771</xdr:colOff>
      <xdr:row>34</xdr:row>
      <xdr:rowOff>141014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FF8EF5-EDB6-11DF-7D7A-572D6777A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12180"/>
          <a:ext cx="4968671" cy="5105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634365</xdr:colOff>
      <xdr:row>1</xdr:row>
      <xdr:rowOff>104775</xdr:rowOff>
    </xdr:from>
    <xdr:to>
      <xdr:col>6</xdr:col>
      <xdr:colOff>1428975</xdr:colOff>
      <xdr:row>5</xdr:row>
      <xdr:rowOff>169612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45A3F9D2-7B62-439F-999A-B97C75481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7265" y="287655"/>
          <a:ext cx="2638650" cy="8039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847725</xdr:colOff>
      <xdr:row>0</xdr:row>
      <xdr:rowOff>0</xdr:rowOff>
    </xdr:from>
    <xdr:to>
      <xdr:col>7</xdr:col>
      <xdr:colOff>1354825</xdr:colOff>
      <xdr:row>13</xdr:row>
      <xdr:rowOff>19378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8E92FC6C-D787-430A-86E2-A1C8254F4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1845" y="0"/>
          <a:ext cx="2267320" cy="23968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2ED9-7911-48AA-AF0D-B9400D1CAA86}">
  <sheetPr>
    <pageSetUpPr fitToPage="1"/>
  </sheetPr>
  <dimension ref="A1:AD39"/>
  <sheetViews>
    <sheetView zoomScale="85" zoomScaleNormal="85" workbookViewId="0">
      <pane xSplit="3" ySplit="4" topLeftCell="J21" activePane="bottomRight" state="frozen"/>
      <selection pane="topRight" activeCell="D1" sqref="D1"/>
      <selection pane="bottomLeft" activeCell="A5" sqref="A5"/>
      <selection pane="bottomRight" activeCell="T30" sqref="T30"/>
    </sheetView>
  </sheetViews>
  <sheetFormatPr defaultColWidth="9.109375" defaultRowHeight="14.4" x14ac:dyDescent="0.3"/>
  <cols>
    <col min="1" max="1" width="12.109375" bestFit="1" customWidth="1"/>
    <col min="2" max="2" width="17.6640625" customWidth="1"/>
    <col min="3" max="3" width="13.44140625" bestFit="1" customWidth="1"/>
    <col min="4" max="4" width="30.6640625" bestFit="1" customWidth="1"/>
    <col min="5" max="5" width="17.44140625" bestFit="1" customWidth="1"/>
    <col min="6" max="6" width="29.109375" bestFit="1" customWidth="1"/>
    <col min="7" max="7" width="17.44140625" bestFit="1" customWidth="1"/>
    <col min="8" max="8" width="16.109375" bestFit="1" customWidth="1"/>
    <col min="9" max="9" width="19" bestFit="1" customWidth="1"/>
    <col min="10" max="10" width="15.5546875" bestFit="1" customWidth="1"/>
    <col min="11" max="11" width="14.33203125" bestFit="1" customWidth="1"/>
    <col min="12" max="12" width="11.109375" bestFit="1" customWidth="1"/>
    <col min="13" max="13" width="4.5546875" bestFit="1" customWidth="1"/>
    <col min="14" max="14" width="15.5546875" bestFit="1" customWidth="1"/>
    <col min="15" max="15" width="14.33203125" bestFit="1" customWidth="1"/>
    <col min="16" max="17" width="17.44140625" bestFit="1" customWidth="1"/>
    <col min="18" max="18" width="17.109375" bestFit="1" customWidth="1"/>
    <col min="19" max="19" width="14.33203125" bestFit="1" customWidth="1"/>
    <col min="20" max="20" width="16.109375" bestFit="1" customWidth="1"/>
    <col min="21" max="21" width="19.44140625" bestFit="1" customWidth="1"/>
    <col min="22" max="22" width="17.6640625" bestFit="1" customWidth="1"/>
    <col min="23" max="23" width="14.6640625" bestFit="1" customWidth="1"/>
    <col min="24" max="24" width="13.109375" bestFit="1" customWidth="1"/>
    <col min="25" max="25" width="10" bestFit="1" customWidth="1"/>
    <col min="26" max="26" width="8.44140625" bestFit="1" customWidth="1"/>
    <col min="27" max="27" width="11.109375" bestFit="1" customWidth="1"/>
    <col min="28" max="28" width="1.44140625" bestFit="1" customWidth="1"/>
    <col min="29" max="29" width="31.33203125" bestFit="1" customWidth="1"/>
    <col min="30" max="30" width="9.109375" customWidth="1"/>
    <col min="31" max="31" width="5" customWidth="1"/>
    <col min="32" max="32" width="36.88671875" customWidth="1"/>
  </cols>
  <sheetData>
    <row r="1" spans="1:30" ht="23.4" x14ac:dyDescent="0.45">
      <c r="A1" s="2" t="s">
        <v>10</v>
      </c>
      <c r="B1" s="300"/>
      <c r="C1" s="300"/>
      <c r="D1" s="300"/>
      <c r="F1" t="s">
        <v>98</v>
      </c>
      <c r="L1" s="3">
        <f>16481.55*12/52</f>
        <v>3803.434615384615</v>
      </c>
      <c r="M1" s="3"/>
      <c r="W1" s="32">
        <f>V5-U5</f>
        <v>0</v>
      </c>
      <c r="Y1" s="32"/>
    </row>
    <row r="2" spans="1:30" x14ac:dyDescent="0.3">
      <c r="B2" s="5"/>
      <c r="D2" t="s">
        <v>41</v>
      </c>
      <c r="G2" s="6">
        <v>180.28</v>
      </c>
      <c r="I2" t="s">
        <v>42</v>
      </c>
      <c r="L2" s="7">
        <f>450*3.5*$B$2</f>
        <v>0</v>
      </c>
      <c r="N2">
        <f>+N5*2/4.333*4</f>
        <v>121.70990769230768</v>
      </c>
    </row>
    <row r="3" spans="1:30" x14ac:dyDescent="0.3">
      <c r="D3" s="301" t="s">
        <v>6</v>
      </c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Q3" s="302" t="s">
        <v>7</v>
      </c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</row>
    <row r="4" spans="1:30" s="27" customFormat="1" ht="69.75" customHeight="1" x14ac:dyDescent="0.3">
      <c r="A4" s="35" t="s">
        <v>2</v>
      </c>
      <c r="B4" s="35" t="s">
        <v>0</v>
      </c>
      <c r="C4" s="35" t="s">
        <v>1</v>
      </c>
      <c r="D4" s="36" t="s">
        <v>3</v>
      </c>
      <c r="E4" s="37" t="s">
        <v>28</v>
      </c>
      <c r="F4" s="37" t="s">
        <v>29</v>
      </c>
      <c r="G4" s="37" t="s">
        <v>30</v>
      </c>
      <c r="H4" s="38" t="s">
        <v>4</v>
      </c>
      <c r="I4" s="38" t="s">
        <v>5</v>
      </c>
      <c r="J4" s="37" t="s">
        <v>93</v>
      </c>
      <c r="K4" s="37" t="s">
        <v>101</v>
      </c>
      <c r="L4" s="37" t="s">
        <v>8</v>
      </c>
      <c r="M4" s="39"/>
      <c r="N4" s="40" t="s">
        <v>31</v>
      </c>
      <c r="O4" s="40" t="s">
        <v>32</v>
      </c>
      <c r="P4" s="40" t="s">
        <v>33</v>
      </c>
      <c r="Q4" s="40" t="s">
        <v>28</v>
      </c>
      <c r="R4" s="40" t="s">
        <v>29</v>
      </c>
      <c r="S4" s="40" t="s">
        <v>30</v>
      </c>
      <c r="T4" s="40" t="s">
        <v>4</v>
      </c>
      <c r="U4" s="40" t="s">
        <v>16</v>
      </c>
      <c r="V4" s="40" t="s">
        <v>17</v>
      </c>
      <c r="W4" s="40" t="s">
        <v>18</v>
      </c>
      <c r="X4" s="40" t="s">
        <v>19</v>
      </c>
      <c r="Y4" s="40" t="s">
        <v>23</v>
      </c>
      <c r="Z4" s="40" t="s">
        <v>24</v>
      </c>
      <c r="AA4" s="40" t="s">
        <v>8</v>
      </c>
      <c r="AB4" s="39"/>
      <c r="AC4" s="41" t="s">
        <v>9</v>
      </c>
    </row>
    <row r="5" spans="1:30" s="27" customFormat="1" x14ac:dyDescent="0.3">
      <c r="A5" s="134" t="s">
        <v>11</v>
      </c>
      <c r="B5" s="135" t="s">
        <v>70</v>
      </c>
      <c r="C5" s="135" t="s">
        <v>12</v>
      </c>
      <c r="D5" s="136">
        <f t="shared" ref="D5:D29" si="0">+$L$1/45*195</f>
        <v>16481.55</v>
      </c>
      <c r="E5" s="136">
        <f t="shared" ref="E5:E29" si="1">+$L$1*0.2</f>
        <v>760.68692307692299</v>
      </c>
      <c r="F5" s="136">
        <f t="shared" ref="F5:F29" si="2">+$L$1*(36.08/100)</f>
        <v>1372.2792092307691</v>
      </c>
      <c r="G5" s="136">
        <f t="shared" ref="G5:G29" si="3">+$L$1*0.25</f>
        <v>950.85865384615374</v>
      </c>
      <c r="H5" s="136">
        <f>'L Kambinda'!$B$16</f>
        <v>6435.2400000000007</v>
      </c>
      <c r="I5" s="136">
        <f>'L Kambinda'!$B$15</f>
        <v>18270</v>
      </c>
      <c r="J5" s="136">
        <f>'L Kambinda'!$B$20</f>
        <v>2100</v>
      </c>
      <c r="K5" s="136">
        <f>'L Kambinda'!$B$26</f>
        <v>0</v>
      </c>
      <c r="L5" s="136">
        <f t="shared" ref="L5:L25" si="4">SUM(D5:J5)</f>
        <v>46370.614786153848</v>
      </c>
      <c r="N5" s="136">
        <f t="shared" ref="N5:N29" si="5">+$L$1*4.333*(0.4/100)</f>
        <v>65.921128753846148</v>
      </c>
      <c r="O5" s="136">
        <f t="shared" ref="O5:O29" si="6">+$L$1*4.333*(0.1)</f>
        <v>1648.0282188461538</v>
      </c>
      <c r="P5" s="136">
        <f t="shared" ref="P5:P29" si="7">+$L$1*4.333*0.01</f>
        <v>164.80282188461538</v>
      </c>
      <c r="Q5" s="136">
        <f t="shared" ref="Q5:Q29" si="8">+$L$1*0.2</f>
        <v>760.68692307692299</v>
      </c>
      <c r="R5" s="136">
        <f t="shared" ref="R5:R29" si="9">+$L$1*(36.08/100)</f>
        <v>1372.2792092307691</v>
      </c>
      <c r="S5" s="136">
        <f t="shared" ref="S5:S29" si="10">+$L$1*0.25</f>
        <v>950.85865384615374</v>
      </c>
      <c r="T5" s="136">
        <f>'L Kambinda'!$B$18</f>
        <v>5600</v>
      </c>
      <c r="U5" s="137"/>
      <c r="V5" s="137"/>
      <c r="W5" s="136"/>
      <c r="X5" s="136"/>
      <c r="Y5" s="136"/>
      <c r="Z5" s="136">
        <v>177.12</v>
      </c>
      <c r="AA5" s="136">
        <f t="shared" ref="AA5:AA25" si="11">+L5-N5-O5-P5-Q5-R5-S5-T5-U5-Y5-Z5</f>
        <v>35630.917830515376</v>
      </c>
      <c r="AC5" s="134"/>
    </row>
    <row r="6" spans="1:30" s="27" customFormat="1" x14ac:dyDescent="0.3">
      <c r="A6" s="134" t="s">
        <v>13</v>
      </c>
      <c r="B6" s="135" t="s">
        <v>14</v>
      </c>
      <c r="C6" s="135" t="s">
        <v>15</v>
      </c>
      <c r="D6" s="136">
        <f t="shared" si="0"/>
        <v>16481.55</v>
      </c>
      <c r="E6" s="136">
        <f t="shared" si="1"/>
        <v>760.68692307692299</v>
      </c>
      <c r="F6" s="136">
        <f t="shared" si="2"/>
        <v>1372.2792092307691</v>
      </c>
      <c r="G6" s="136">
        <f t="shared" si="3"/>
        <v>950.85865384615374</v>
      </c>
      <c r="H6" s="136">
        <f>'Simon Ndlala'!$B$16</f>
        <v>6435.2400000000007</v>
      </c>
      <c r="I6" s="136">
        <f>'Simon Ndlala'!$B$15</f>
        <v>18270</v>
      </c>
      <c r="J6" s="136">
        <f>'Simon Ndlala'!$B$20</f>
        <v>2100</v>
      </c>
      <c r="K6" s="136">
        <f>'Simon Ndlala'!$B$26</f>
        <v>600</v>
      </c>
      <c r="L6" s="136">
        <f t="shared" si="4"/>
        <v>46370.614786153848</v>
      </c>
      <c r="N6" s="136">
        <f t="shared" si="5"/>
        <v>65.921128753846148</v>
      </c>
      <c r="O6" s="136">
        <f t="shared" si="6"/>
        <v>1648.0282188461538</v>
      </c>
      <c r="P6" s="136">
        <f t="shared" si="7"/>
        <v>164.80282188461538</v>
      </c>
      <c r="Q6" s="136">
        <f t="shared" si="8"/>
        <v>760.68692307692299</v>
      </c>
      <c r="R6" s="136">
        <f t="shared" si="9"/>
        <v>1372.2792092307691</v>
      </c>
      <c r="S6" s="136">
        <f t="shared" si="10"/>
        <v>950.85865384615374</v>
      </c>
      <c r="T6" s="136">
        <f>'Simon Ndlala'!$B$18</f>
        <v>5600</v>
      </c>
      <c r="U6" s="137">
        <v>1000</v>
      </c>
      <c r="V6" s="137">
        <v>1000</v>
      </c>
      <c r="W6" s="136"/>
      <c r="X6" s="136"/>
      <c r="Y6" s="136"/>
      <c r="Z6" s="136">
        <v>177.12</v>
      </c>
      <c r="AA6" s="136">
        <f t="shared" si="11"/>
        <v>34630.917830515376</v>
      </c>
      <c r="AC6" s="138"/>
    </row>
    <row r="7" spans="1:30" s="27" customFormat="1" x14ac:dyDescent="0.3">
      <c r="A7" s="134" t="s">
        <v>20</v>
      </c>
      <c r="B7" s="135" t="s">
        <v>21</v>
      </c>
      <c r="C7" s="135" t="s">
        <v>22</v>
      </c>
      <c r="D7" s="136">
        <f t="shared" si="0"/>
        <v>16481.55</v>
      </c>
      <c r="E7" s="136">
        <f t="shared" si="1"/>
        <v>760.68692307692299</v>
      </c>
      <c r="F7" s="136">
        <f t="shared" si="2"/>
        <v>1372.2792092307691</v>
      </c>
      <c r="G7" s="136">
        <f t="shared" si="3"/>
        <v>950.85865384615374</v>
      </c>
      <c r="H7" s="136">
        <f>'Abongile Mana'!$B$16</f>
        <v>5975.58</v>
      </c>
      <c r="I7" s="136">
        <f>'Abongile Mana'!$B$15</f>
        <v>15660</v>
      </c>
      <c r="J7" s="136">
        <f>'Abongile Mana'!$B$20</f>
        <v>1950</v>
      </c>
      <c r="K7" s="136">
        <f>'Abongile Mana'!$B$26</f>
        <v>400</v>
      </c>
      <c r="L7" s="136">
        <f t="shared" si="4"/>
        <v>43150.954786153845</v>
      </c>
      <c r="N7" s="136">
        <f t="shared" si="5"/>
        <v>65.921128753846148</v>
      </c>
      <c r="O7" s="136">
        <f t="shared" si="6"/>
        <v>1648.0282188461538</v>
      </c>
      <c r="P7" s="136">
        <f t="shared" si="7"/>
        <v>164.80282188461538</v>
      </c>
      <c r="Q7" s="136">
        <f t="shared" si="8"/>
        <v>760.68692307692299</v>
      </c>
      <c r="R7" s="136">
        <f t="shared" si="9"/>
        <v>1372.2792092307691</v>
      </c>
      <c r="S7" s="136">
        <f t="shared" si="10"/>
        <v>950.85865384615374</v>
      </c>
      <c r="T7" s="136">
        <f>'Abongile Mana'!$B$18</f>
        <v>5600</v>
      </c>
      <c r="U7" s="137"/>
      <c r="V7" s="137"/>
      <c r="W7" s="136"/>
      <c r="X7" s="136"/>
      <c r="Y7" s="136"/>
      <c r="Z7" s="136">
        <v>177.12</v>
      </c>
      <c r="AA7" s="136">
        <f t="shared" si="11"/>
        <v>32411.257830515377</v>
      </c>
      <c r="AC7" s="138"/>
    </row>
    <row r="8" spans="1:30" s="27" customFormat="1" ht="16.5" customHeight="1" x14ac:dyDescent="0.3">
      <c r="A8" s="134" t="s">
        <v>25</v>
      </c>
      <c r="B8" s="135" t="s">
        <v>26</v>
      </c>
      <c r="C8" s="135" t="s">
        <v>27</v>
      </c>
      <c r="D8" s="136">
        <f t="shared" si="0"/>
        <v>16481.55</v>
      </c>
      <c r="E8" s="136">
        <f t="shared" si="1"/>
        <v>760.68692307692299</v>
      </c>
      <c r="F8" s="136">
        <f t="shared" si="2"/>
        <v>1372.2792092307691</v>
      </c>
      <c r="G8" s="136">
        <f t="shared" si="3"/>
        <v>950.85865384615374</v>
      </c>
      <c r="H8" s="136">
        <f>'Kliffet Williams'!$B$16</f>
        <v>5515.92</v>
      </c>
      <c r="I8" s="136">
        <f>'Kliffet Williams'!$B$15</f>
        <v>13050</v>
      </c>
      <c r="J8" s="136">
        <f>'Kliffet Williams'!$B$20</f>
        <v>1800</v>
      </c>
      <c r="K8" s="136">
        <f>'Kliffet Williams'!$B$26</f>
        <v>200</v>
      </c>
      <c r="L8" s="136">
        <f t="shared" si="4"/>
        <v>39931.294786153841</v>
      </c>
      <c r="N8" s="136">
        <f t="shared" si="5"/>
        <v>65.921128753846148</v>
      </c>
      <c r="O8" s="136">
        <f t="shared" si="6"/>
        <v>1648.0282188461538</v>
      </c>
      <c r="P8" s="136">
        <f t="shared" si="7"/>
        <v>164.80282188461538</v>
      </c>
      <c r="Q8" s="136">
        <f t="shared" si="8"/>
        <v>760.68692307692299</v>
      </c>
      <c r="R8" s="136">
        <f t="shared" si="9"/>
        <v>1372.2792092307691</v>
      </c>
      <c r="S8" s="136">
        <f t="shared" si="10"/>
        <v>950.85865384615374</v>
      </c>
      <c r="T8" s="136">
        <f>'Kliffet Williams'!$B$18</f>
        <v>5600</v>
      </c>
      <c r="U8" s="137"/>
      <c r="V8" s="137"/>
      <c r="W8" s="136"/>
      <c r="X8" s="136"/>
      <c r="Y8" s="136"/>
      <c r="Z8" s="136">
        <v>177.12</v>
      </c>
      <c r="AA8" s="136">
        <f t="shared" si="11"/>
        <v>29191.597830515373</v>
      </c>
      <c r="AC8" s="134"/>
    </row>
    <row r="9" spans="1:30" s="27" customFormat="1" x14ac:dyDescent="0.3">
      <c r="A9" s="134" t="s">
        <v>40</v>
      </c>
      <c r="B9" s="135" t="s">
        <v>34</v>
      </c>
      <c r="C9" s="135" t="s">
        <v>35</v>
      </c>
      <c r="D9" s="136">
        <f t="shared" si="0"/>
        <v>16481.55</v>
      </c>
      <c r="E9" s="136">
        <f t="shared" si="1"/>
        <v>760.68692307692299</v>
      </c>
      <c r="F9" s="136">
        <f t="shared" si="2"/>
        <v>1372.2792092307691</v>
      </c>
      <c r="G9" s="136">
        <f t="shared" si="3"/>
        <v>950.85865384615374</v>
      </c>
      <c r="H9" s="136">
        <f>'Resty Hollander'!$B$16</f>
        <v>5515.92</v>
      </c>
      <c r="I9" s="136">
        <f>'Resty Hollander'!$B$15</f>
        <v>13050</v>
      </c>
      <c r="J9" s="136">
        <f>'Resty Hollander'!$B$20</f>
        <v>1800</v>
      </c>
      <c r="K9" s="136">
        <f>'Resty Hollander'!$B$26</f>
        <v>200</v>
      </c>
      <c r="L9" s="136">
        <f t="shared" si="4"/>
        <v>39931.294786153841</v>
      </c>
      <c r="N9" s="136">
        <f t="shared" si="5"/>
        <v>65.921128753846148</v>
      </c>
      <c r="O9" s="136">
        <f t="shared" si="6"/>
        <v>1648.0282188461538</v>
      </c>
      <c r="P9" s="136">
        <f t="shared" si="7"/>
        <v>164.80282188461538</v>
      </c>
      <c r="Q9" s="136">
        <f t="shared" si="8"/>
        <v>760.68692307692299</v>
      </c>
      <c r="R9" s="136">
        <f t="shared" si="9"/>
        <v>1372.2792092307691</v>
      </c>
      <c r="S9" s="136">
        <f t="shared" si="10"/>
        <v>950.85865384615374</v>
      </c>
      <c r="T9" s="136">
        <f>'Resty Hollander'!$B$18</f>
        <v>5600</v>
      </c>
      <c r="U9" s="137"/>
      <c r="V9" s="137"/>
      <c r="W9" s="136"/>
      <c r="X9" s="136"/>
      <c r="Y9" s="136"/>
      <c r="Z9" s="136">
        <v>177.12</v>
      </c>
      <c r="AA9" s="136">
        <f t="shared" si="11"/>
        <v>29191.597830515373</v>
      </c>
      <c r="AC9" s="139"/>
    </row>
    <row r="10" spans="1:30" s="27" customFormat="1" x14ac:dyDescent="0.3">
      <c r="A10" s="134" t="s">
        <v>43</v>
      </c>
      <c r="B10" s="135" t="s">
        <v>36</v>
      </c>
      <c r="C10" s="135" t="s">
        <v>37</v>
      </c>
      <c r="D10" s="136">
        <f t="shared" si="0"/>
        <v>16481.55</v>
      </c>
      <c r="E10" s="136">
        <f t="shared" si="1"/>
        <v>760.68692307692299</v>
      </c>
      <c r="F10" s="136">
        <f t="shared" si="2"/>
        <v>1372.2792092307691</v>
      </c>
      <c r="G10" s="136">
        <f t="shared" si="3"/>
        <v>950.85865384615374</v>
      </c>
      <c r="H10" s="136">
        <f>'Roy Setlhare'!$B$16</f>
        <v>5515.92</v>
      </c>
      <c r="I10" s="136">
        <f>'Roy Setlhare'!$B$15</f>
        <v>13050</v>
      </c>
      <c r="J10" s="136">
        <f>'Roy Setlhare'!$B$20</f>
        <v>1800</v>
      </c>
      <c r="K10" s="136">
        <f>'Roy Setlhare'!$B$26</f>
        <v>0</v>
      </c>
      <c r="L10" s="136">
        <f t="shared" si="4"/>
        <v>39931.294786153841</v>
      </c>
      <c r="N10" s="136">
        <f t="shared" si="5"/>
        <v>65.921128753846148</v>
      </c>
      <c r="O10" s="136">
        <f t="shared" si="6"/>
        <v>1648.0282188461538</v>
      </c>
      <c r="P10" s="136">
        <f t="shared" si="7"/>
        <v>164.80282188461538</v>
      </c>
      <c r="Q10" s="136">
        <f t="shared" si="8"/>
        <v>760.68692307692299</v>
      </c>
      <c r="R10" s="136">
        <f t="shared" si="9"/>
        <v>1372.2792092307691</v>
      </c>
      <c r="S10" s="136">
        <f t="shared" si="10"/>
        <v>950.85865384615374</v>
      </c>
      <c r="T10" s="136">
        <f>'Roy Setlhare'!$B$18</f>
        <v>5600</v>
      </c>
      <c r="U10" s="137"/>
      <c r="V10" s="137"/>
      <c r="W10" s="136"/>
      <c r="X10" s="136"/>
      <c r="Y10" s="136"/>
      <c r="Z10" s="136">
        <v>177.12</v>
      </c>
      <c r="AA10" s="136">
        <f t="shared" si="11"/>
        <v>29191.597830515373</v>
      </c>
      <c r="AC10" s="134"/>
    </row>
    <row r="11" spans="1:30" s="27" customFormat="1" x14ac:dyDescent="0.3">
      <c r="A11" s="134" t="s">
        <v>44</v>
      </c>
      <c r="B11" s="135" t="s">
        <v>38</v>
      </c>
      <c r="C11" s="135" t="s">
        <v>39</v>
      </c>
      <c r="D11" s="136">
        <f t="shared" si="0"/>
        <v>16481.55</v>
      </c>
      <c r="E11" s="136">
        <f t="shared" si="1"/>
        <v>760.68692307692299</v>
      </c>
      <c r="F11" s="136">
        <f t="shared" si="2"/>
        <v>1372.2792092307691</v>
      </c>
      <c r="G11" s="136">
        <f t="shared" si="3"/>
        <v>950.85865384615374</v>
      </c>
      <c r="H11" s="136">
        <f>'Subisiso Silomo'!$B$16</f>
        <v>6435.2400000000007</v>
      </c>
      <c r="I11" s="136">
        <f>'Subisiso Silomo'!$B$15</f>
        <v>18270</v>
      </c>
      <c r="J11" s="136">
        <f>'Subisiso Silomo'!$B$20</f>
        <v>2100</v>
      </c>
      <c r="K11" s="136">
        <f>'Subisiso Silomo'!$B$26</f>
        <v>200</v>
      </c>
      <c r="L11" s="136">
        <f t="shared" si="4"/>
        <v>46370.614786153848</v>
      </c>
      <c r="N11" s="136">
        <f t="shared" si="5"/>
        <v>65.921128753846148</v>
      </c>
      <c r="O11" s="136">
        <f t="shared" si="6"/>
        <v>1648.0282188461538</v>
      </c>
      <c r="P11" s="136">
        <f t="shared" si="7"/>
        <v>164.80282188461538</v>
      </c>
      <c r="Q11" s="136">
        <f t="shared" si="8"/>
        <v>760.68692307692299</v>
      </c>
      <c r="R11" s="136">
        <f t="shared" si="9"/>
        <v>1372.2792092307691</v>
      </c>
      <c r="S11" s="136">
        <f t="shared" si="10"/>
        <v>950.85865384615374</v>
      </c>
      <c r="T11" s="136">
        <f>'Subisiso Silomo'!$B$18</f>
        <v>5600</v>
      </c>
      <c r="U11" s="137"/>
      <c r="V11" s="137"/>
      <c r="W11" s="136"/>
      <c r="X11" s="136"/>
      <c r="Y11" s="136"/>
      <c r="Z11" s="136">
        <v>177.12</v>
      </c>
      <c r="AA11" s="136">
        <f t="shared" si="11"/>
        <v>35630.917830515376</v>
      </c>
      <c r="AC11" s="138"/>
    </row>
    <row r="12" spans="1:30" s="27" customFormat="1" x14ac:dyDescent="0.3">
      <c r="A12" s="134" t="s">
        <v>73</v>
      </c>
      <c r="B12" s="135" t="s">
        <v>74</v>
      </c>
      <c r="C12" s="135" t="s">
        <v>75</v>
      </c>
      <c r="D12" s="136">
        <f t="shared" si="0"/>
        <v>16481.55</v>
      </c>
      <c r="E12" s="136">
        <f t="shared" si="1"/>
        <v>760.68692307692299</v>
      </c>
      <c r="F12" s="136">
        <f t="shared" si="2"/>
        <v>1372.2792092307691</v>
      </c>
      <c r="G12" s="136">
        <f t="shared" si="3"/>
        <v>950.85865384615374</v>
      </c>
      <c r="H12" s="136">
        <f>'Sam Mahlamba'!$B$16</f>
        <v>5975.58</v>
      </c>
      <c r="I12" s="136">
        <f>'Sam Mahlamba'!$B$15</f>
        <v>15660</v>
      </c>
      <c r="J12" s="136">
        <f>'Sam Mahlamba'!$B$20</f>
        <v>1950</v>
      </c>
      <c r="K12" s="136">
        <f>'Sam Mahlamba'!$B$26</f>
        <v>400</v>
      </c>
      <c r="L12" s="136">
        <f t="shared" si="4"/>
        <v>43150.954786153845</v>
      </c>
      <c r="N12" s="136">
        <f t="shared" si="5"/>
        <v>65.921128753846148</v>
      </c>
      <c r="O12" s="136">
        <f t="shared" si="6"/>
        <v>1648.0282188461538</v>
      </c>
      <c r="P12" s="136">
        <f t="shared" si="7"/>
        <v>164.80282188461538</v>
      </c>
      <c r="Q12" s="136">
        <f t="shared" si="8"/>
        <v>760.68692307692299</v>
      </c>
      <c r="R12" s="136">
        <f t="shared" si="9"/>
        <v>1372.2792092307691</v>
      </c>
      <c r="S12" s="136">
        <f t="shared" si="10"/>
        <v>950.85865384615374</v>
      </c>
      <c r="T12" s="136">
        <f>'Sam Mahlamba'!$B$18</f>
        <v>5600</v>
      </c>
      <c r="U12" s="137">
        <v>1000</v>
      </c>
      <c r="V12" s="137">
        <v>3500</v>
      </c>
      <c r="W12" s="136"/>
      <c r="X12" s="136"/>
      <c r="Y12" s="136"/>
      <c r="Z12" s="136">
        <v>177.12</v>
      </c>
      <c r="AA12" s="136">
        <f t="shared" si="11"/>
        <v>31411.257830515377</v>
      </c>
      <c r="AC12" s="138"/>
    </row>
    <row r="13" spans="1:30" s="27" customFormat="1" x14ac:dyDescent="0.3">
      <c r="A13" s="134" t="s">
        <v>76</v>
      </c>
      <c r="B13" s="135" t="s">
        <v>91</v>
      </c>
      <c r="C13" s="135" t="s">
        <v>92</v>
      </c>
      <c r="D13" s="136">
        <f t="shared" si="0"/>
        <v>16481.55</v>
      </c>
      <c r="E13" s="136">
        <f t="shared" si="1"/>
        <v>760.68692307692299</v>
      </c>
      <c r="F13" s="136">
        <f t="shared" si="2"/>
        <v>1372.2792092307691</v>
      </c>
      <c r="G13" s="136">
        <f t="shared" si="3"/>
        <v>950.85865384615374</v>
      </c>
      <c r="H13" s="136">
        <f>'Petrus Jacobus pretoruis'!$B$16</f>
        <v>5515.92</v>
      </c>
      <c r="I13" s="136">
        <f>'Petrus Jacobus pretoruis'!$B$15</f>
        <v>13050</v>
      </c>
      <c r="J13" s="136">
        <f>'Petrus Jacobus pretoruis'!$B$20</f>
        <v>1800</v>
      </c>
      <c r="K13" s="136">
        <f>'Petrus Jacobus pretoruis'!$B$26</f>
        <v>0</v>
      </c>
      <c r="L13" s="136">
        <f t="shared" si="4"/>
        <v>39931.294786153841</v>
      </c>
      <c r="N13" s="136">
        <f t="shared" si="5"/>
        <v>65.921128753846148</v>
      </c>
      <c r="O13" s="136">
        <f t="shared" si="6"/>
        <v>1648.0282188461538</v>
      </c>
      <c r="P13" s="136">
        <f t="shared" si="7"/>
        <v>164.80282188461538</v>
      </c>
      <c r="Q13" s="136">
        <f t="shared" si="8"/>
        <v>760.68692307692299</v>
      </c>
      <c r="R13" s="136">
        <f t="shared" si="9"/>
        <v>1372.2792092307691</v>
      </c>
      <c r="S13" s="136">
        <f t="shared" si="10"/>
        <v>950.85865384615374</v>
      </c>
      <c r="T13" s="136">
        <f>'Petrus Jacobus pretoruis'!$B$18</f>
        <v>5600</v>
      </c>
      <c r="U13" s="137"/>
      <c r="V13" s="137"/>
      <c r="W13" s="136"/>
      <c r="X13" s="136"/>
      <c r="Y13" s="136"/>
      <c r="Z13" s="136">
        <v>177.12</v>
      </c>
      <c r="AA13" s="136">
        <f t="shared" si="11"/>
        <v>29191.597830515373</v>
      </c>
      <c r="AB13" s="27" t="s">
        <v>45</v>
      </c>
      <c r="AC13" s="138"/>
    </row>
    <row r="14" spans="1:30" s="39" customFormat="1" ht="28.8" x14ac:dyDescent="0.3">
      <c r="A14" s="35" t="s">
        <v>88</v>
      </c>
      <c r="B14" s="41" t="s">
        <v>89</v>
      </c>
      <c r="C14" s="41" t="s">
        <v>90</v>
      </c>
      <c r="D14" s="149">
        <f t="shared" si="0"/>
        <v>16481.55</v>
      </c>
      <c r="E14" s="149">
        <f t="shared" si="1"/>
        <v>760.68692307692299</v>
      </c>
      <c r="F14" s="149">
        <f t="shared" si="2"/>
        <v>1372.2792092307691</v>
      </c>
      <c r="G14" s="149">
        <f t="shared" si="3"/>
        <v>950.85865384615374</v>
      </c>
      <c r="H14" s="149">
        <f>'Andries Moitsemang Mathe'!$B$16</f>
        <v>5975.58</v>
      </c>
      <c r="I14" s="149">
        <f>'Andries Moitsemang Mathe'!$B$15</f>
        <v>15660</v>
      </c>
      <c r="J14" s="149">
        <f>'Andries Moitsemang Mathe'!$B$20</f>
        <v>1950</v>
      </c>
      <c r="K14" s="149">
        <f>'Andries Moitsemang Mathe'!$B$26</f>
        <v>0</v>
      </c>
      <c r="L14" s="149">
        <f t="shared" si="4"/>
        <v>43150.954786153845</v>
      </c>
      <c r="N14" s="149">
        <f t="shared" si="5"/>
        <v>65.921128753846148</v>
      </c>
      <c r="O14" s="149">
        <f t="shared" si="6"/>
        <v>1648.0282188461538</v>
      </c>
      <c r="P14" s="149">
        <f t="shared" si="7"/>
        <v>164.80282188461538</v>
      </c>
      <c r="Q14" s="149">
        <f t="shared" si="8"/>
        <v>760.68692307692299</v>
      </c>
      <c r="R14" s="149">
        <f t="shared" si="9"/>
        <v>1372.2792092307691</v>
      </c>
      <c r="S14" s="149">
        <f t="shared" si="10"/>
        <v>950.85865384615374</v>
      </c>
      <c r="T14" s="149">
        <f>'Andries Moitsemang Mathe'!$B$18</f>
        <v>5500</v>
      </c>
      <c r="U14" s="150"/>
      <c r="V14" s="150"/>
      <c r="W14" s="149"/>
      <c r="X14" s="149"/>
      <c r="Y14" s="149"/>
      <c r="Z14" s="149">
        <v>177.12</v>
      </c>
      <c r="AA14" s="149">
        <f t="shared" si="11"/>
        <v>32511.257830515377</v>
      </c>
      <c r="AC14" s="35"/>
    </row>
    <row r="15" spans="1:30" s="27" customFormat="1" x14ac:dyDescent="0.3">
      <c r="A15" s="134" t="s">
        <v>94</v>
      </c>
      <c r="B15" s="135" t="s">
        <v>95</v>
      </c>
      <c r="C15" s="135" t="s">
        <v>96</v>
      </c>
      <c r="D15" s="136">
        <f t="shared" si="0"/>
        <v>16481.55</v>
      </c>
      <c r="E15" s="136">
        <f t="shared" si="1"/>
        <v>760.68692307692299</v>
      </c>
      <c r="F15" s="136">
        <f t="shared" si="2"/>
        <v>1372.2792092307691</v>
      </c>
      <c r="G15" s="136">
        <f t="shared" si="3"/>
        <v>950.85865384615374</v>
      </c>
      <c r="H15" s="136">
        <f>'Job Dimengu'!$B$16</f>
        <v>5515.92</v>
      </c>
      <c r="I15" s="136">
        <f>'Job Dimengu'!$B$15</f>
        <v>13050</v>
      </c>
      <c r="J15" s="136">
        <f>'Job Dimengu'!$B$20</f>
        <v>1800</v>
      </c>
      <c r="K15" s="136">
        <f>'Job Dimengu'!$B$26</f>
        <v>600</v>
      </c>
      <c r="L15" s="136">
        <f t="shared" si="4"/>
        <v>39931.294786153841</v>
      </c>
      <c r="N15" s="136">
        <f t="shared" si="5"/>
        <v>65.921128753846148</v>
      </c>
      <c r="O15" s="136">
        <f t="shared" si="6"/>
        <v>1648.0282188461538</v>
      </c>
      <c r="P15" s="136">
        <f t="shared" si="7"/>
        <v>164.80282188461538</v>
      </c>
      <c r="Q15" s="136">
        <f t="shared" si="8"/>
        <v>760.68692307692299</v>
      </c>
      <c r="R15" s="136">
        <f t="shared" si="9"/>
        <v>1372.2792092307691</v>
      </c>
      <c r="S15" s="136">
        <f t="shared" si="10"/>
        <v>950.85865384615374</v>
      </c>
      <c r="T15" s="136">
        <f>'Job Dimengu'!$B$18</f>
        <v>5600</v>
      </c>
      <c r="U15" s="136"/>
      <c r="V15" s="136"/>
      <c r="W15" s="136"/>
      <c r="X15" s="136"/>
      <c r="Y15" s="136"/>
      <c r="Z15" s="136">
        <v>177.12</v>
      </c>
      <c r="AA15" s="136">
        <f t="shared" si="11"/>
        <v>29191.597830515373</v>
      </c>
      <c r="AC15" s="134"/>
    </row>
    <row r="16" spans="1:30" x14ac:dyDescent="0.3">
      <c r="A16" s="134" t="s">
        <v>104</v>
      </c>
      <c r="B16" s="135" t="s">
        <v>105</v>
      </c>
      <c r="C16" s="135" t="s">
        <v>106</v>
      </c>
      <c r="D16" s="136">
        <f t="shared" si="0"/>
        <v>16481.55</v>
      </c>
      <c r="E16" s="136">
        <f t="shared" si="1"/>
        <v>760.68692307692299</v>
      </c>
      <c r="F16" s="136">
        <f t="shared" si="2"/>
        <v>1372.2792092307691</v>
      </c>
      <c r="G16" s="136">
        <f t="shared" si="3"/>
        <v>950.85865384615374</v>
      </c>
      <c r="H16" s="136">
        <f>'Stoffel Sefadi'!$B$16</f>
        <v>6435.2400000000007</v>
      </c>
      <c r="I16" s="136">
        <f>'Stoffel Sefadi'!$B$15</f>
        <v>18270</v>
      </c>
      <c r="J16" s="136">
        <f>'Stoffel Sefadi'!$B$20</f>
        <v>2100</v>
      </c>
      <c r="K16" s="136">
        <f>'Stoffel Sefadi'!$B$26</f>
        <v>0</v>
      </c>
      <c r="L16" s="136">
        <f t="shared" si="4"/>
        <v>46370.614786153848</v>
      </c>
      <c r="M16" s="27"/>
      <c r="N16" s="136">
        <f t="shared" si="5"/>
        <v>65.921128753846148</v>
      </c>
      <c r="O16" s="136">
        <f t="shared" si="6"/>
        <v>1648.0282188461538</v>
      </c>
      <c r="P16" s="136">
        <f t="shared" si="7"/>
        <v>164.80282188461538</v>
      </c>
      <c r="Q16" s="136">
        <f t="shared" si="8"/>
        <v>760.68692307692299</v>
      </c>
      <c r="R16" s="136">
        <f t="shared" si="9"/>
        <v>1372.2792092307691</v>
      </c>
      <c r="S16" s="136">
        <f t="shared" si="10"/>
        <v>950.85865384615374</v>
      </c>
      <c r="T16" s="136">
        <f>'Stoffel Sefadi'!$B$18</f>
        <v>5600</v>
      </c>
      <c r="U16" s="137"/>
      <c r="V16" s="137"/>
      <c r="W16" s="136"/>
      <c r="X16" s="136"/>
      <c r="Y16" s="136"/>
      <c r="Z16" s="136">
        <v>177.12</v>
      </c>
      <c r="AA16" s="136">
        <f t="shared" si="11"/>
        <v>35630.917830515376</v>
      </c>
      <c r="AB16" s="27"/>
      <c r="AC16" s="134"/>
    </row>
    <row r="17" spans="1:29" x14ac:dyDescent="0.3">
      <c r="A17" s="134" t="s">
        <v>108</v>
      </c>
      <c r="B17" s="135" t="s">
        <v>109</v>
      </c>
      <c r="C17" s="135" t="s">
        <v>110</v>
      </c>
      <c r="D17" s="136">
        <f t="shared" si="0"/>
        <v>16481.55</v>
      </c>
      <c r="E17" s="136">
        <f t="shared" si="1"/>
        <v>760.68692307692299</v>
      </c>
      <c r="F17" s="136">
        <f t="shared" si="2"/>
        <v>1372.2792092307691</v>
      </c>
      <c r="G17" s="136">
        <f t="shared" si="3"/>
        <v>950.85865384615374</v>
      </c>
      <c r="H17" s="136">
        <f>'Samuel Domingo'!$B$16</f>
        <v>5975.58</v>
      </c>
      <c r="I17" s="136">
        <f>'Samuel Domingo'!$B$15</f>
        <v>15660</v>
      </c>
      <c r="J17" s="136">
        <f>'Samuel Domingo'!$B$20</f>
        <v>1800</v>
      </c>
      <c r="K17" s="136">
        <f>'Samuel Domingo'!$B$26</f>
        <v>400</v>
      </c>
      <c r="L17" s="136">
        <f t="shared" si="4"/>
        <v>43000.954786153845</v>
      </c>
      <c r="M17" s="27"/>
      <c r="N17" s="136">
        <f t="shared" si="5"/>
        <v>65.921128753846148</v>
      </c>
      <c r="O17" s="136">
        <f t="shared" si="6"/>
        <v>1648.0282188461538</v>
      </c>
      <c r="P17" s="136">
        <f t="shared" si="7"/>
        <v>164.80282188461538</v>
      </c>
      <c r="Q17" s="136">
        <f t="shared" si="8"/>
        <v>760.68692307692299</v>
      </c>
      <c r="R17" s="136">
        <f t="shared" si="9"/>
        <v>1372.2792092307691</v>
      </c>
      <c r="S17" s="136">
        <f t="shared" si="10"/>
        <v>950.85865384615374</v>
      </c>
      <c r="T17" s="136">
        <f>'Samuel Domingo'!$B$18</f>
        <v>4200</v>
      </c>
      <c r="U17" s="137"/>
      <c r="V17" s="137"/>
      <c r="W17" s="136"/>
      <c r="X17" s="136"/>
      <c r="Y17" s="136"/>
      <c r="Z17" s="136">
        <v>177.12</v>
      </c>
      <c r="AA17" s="136">
        <f t="shared" si="11"/>
        <v>33661.257830515373</v>
      </c>
      <c r="AB17" s="27"/>
      <c r="AC17" s="134"/>
    </row>
    <row r="18" spans="1:29" x14ac:dyDescent="0.3">
      <c r="A18" s="134" t="s">
        <v>113</v>
      </c>
      <c r="B18" s="135" t="s">
        <v>117</v>
      </c>
      <c r="C18" s="135" t="s">
        <v>115</v>
      </c>
      <c r="D18" s="136">
        <f t="shared" si="0"/>
        <v>16481.55</v>
      </c>
      <c r="E18" s="136">
        <f t="shared" si="1"/>
        <v>760.68692307692299</v>
      </c>
      <c r="F18" s="136">
        <f t="shared" si="2"/>
        <v>1372.2792092307691</v>
      </c>
      <c r="G18" s="136">
        <f t="shared" si="3"/>
        <v>950.85865384615374</v>
      </c>
      <c r="H18" s="136">
        <f>'Phikane Matiwane'!$B$16</f>
        <v>5975.58</v>
      </c>
      <c r="I18" s="136">
        <f>'Phikane Matiwane'!$B$15</f>
        <v>15660</v>
      </c>
      <c r="J18" s="136">
        <f>'Phikane Matiwane'!$B$20</f>
        <v>1950</v>
      </c>
      <c r="K18" s="136">
        <f>'Phikane Matiwane'!$B$26</f>
        <v>200</v>
      </c>
      <c r="L18" s="136">
        <f t="shared" si="4"/>
        <v>43150.954786153845</v>
      </c>
      <c r="M18" s="27"/>
      <c r="N18" s="136">
        <f t="shared" si="5"/>
        <v>65.921128753846148</v>
      </c>
      <c r="O18" s="136">
        <f t="shared" si="6"/>
        <v>1648.0282188461538</v>
      </c>
      <c r="P18" s="136">
        <f t="shared" si="7"/>
        <v>164.80282188461538</v>
      </c>
      <c r="Q18" s="136">
        <f t="shared" si="8"/>
        <v>760.68692307692299</v>
      </c>
      <c r="R18" s="136">
        <f t="shared" si="9"/>
        <v>1372.2792092307691</v>
      </c>
      <c r="S18" s="136">
        <f t="shared" si="10"/>
        <v>950.85865384615374</v>
      </c>
      <c r="T18" s="136">
        <f>'Phikane Matiwane'!$B$18</f>
        <v>5600</v>
      </c>
      <c r="U18" s="137"/>
      <c r="V18" s="137"/>
      <c r="W18" s="136"/>
      <c r="X18" s="136"/>
      <c r="Y18" s="136"/>
      <c r="Z18" s="136">
        <v>177.12</v>
      </c>
      <c r="AA18" s="136">
        <f t="shared" si="11"/>
        <v>32411.257830515377</v>
      </c>
      <c r="AB18" s="27"/>
      <c r="AC18" s="134"/>
    </row>
    <row r="19" spans="1:29" x14ac:dyDescent="0.3">
      <c r="A19" s="134" t="s">
        <v>114</v>
      </c>
      <c r="B19" s="135" t="s">
        <v>118</v>
      </c>
      <c r="C19" s="135" t="s">
        <v>116</v>
      </c>
      <c r="D19" s="136">
        <f t="shared" si="0"/>
        <v>16481.55</v>
      </c>
      <c r="E19" s="136">
        <f t="shared" si="1"/>
        <v>760.68692307692299</v>
      </c>
      <c r="F19" s="136">
        <f t="shared" si="2"/>
        <v>1372.2792092307691</v>
      </c>
      <c r="G19" s="136">
        <f t="shared" si="3"/>
        <v>950.85865384615374</v>
      </c>
      <c r="H19" s="136">
        <f>'JACKSON -Kgololo Joseph Mocwane'!$B$16</f>
        <v>5975.58</v>
      </c>
      <c r="I19" s="136">
        <f>'JACKSON -Kgololo Joseph Mocwane'!$B$15</f>
        <v>15660</v>
      </c>
      <c r="J19" s="136">
        <f>'JACKSON -Kgololo Joseph Mocwane'!$B$20</f>
        <v>1950</v>
      </c>
      <c r="K19" s="136">
        <f>'JACKSON -Kgololo Joseph Mocwane'!$B$26</f>
        <v>0</v>
      </c>
      <c r="L19" s="136">
        <f t="shared" si="4"/>
        <v>43150.954786153845</v>
      </c>
      <c r="M19" s="27"/>
      <c r="N19" s="136">
        <f t="shared" si="5"/>
        <v>65.921128753846148</v>
      </c>
      <c r="O19" s="136">
        <f t="shared" si="6"/>
        <v>1648.0282188461538</v>
      </c>
      <c r="P19" s="136">
        <f t="shared" si="7"/>
        <v>164.80282188461538</v>
      </c>
      <c r="Q19" s="136">
        <f t="shared" si="8"/>
        <v>760.68692307692299</v>
      </c>
      <c r="R19" s="136">
        <f t="shared" si="9"/>
        <v>1372.2792092307691</v>
      </c>
      <c r="S19" s="136">
        <f t="shared" si="10"/>
        <v>950.85865384615374</v>
      </c>
      <c r="T19" s="136">
        <f>'JACKSON -Kgololo Joseph Mocwane'!$B$18</f>
        <v>5600</v>
      </c>
      <c r="U19" s="137"/>
      <c r="V19" s="137"/>
      <c r="W19" s="136"/>
      <c r="X19" s="136"/>
      <c r="Y19" s="136"/>
      <c r="Z19" s="136">
        <v>177.12</v>
      </c>
      <c r="AA19" s="136">
        <f t="shared" si="11"/>
        <v>32411.257830515377</v>
      </c>
      <c r="AB19" s="27"/>
      <c r="AC19" s="134"/>
    </row>
    <row r="20" spans="1:29" x14ac:dyDescent="0.3">
      <c r="A20" s="134" t="s">
        <v>123</v>
      </c>
      <c r="B20" s="135" t="s">
        <v>124</v>
      </c>
      <c r="C20" s="135" t="s">
        <v>125</v>
      </c>
      <c r="D20" s="136">
        <f t="shared" si="0"/>
        <v>16481.55</v>
      </c>
      <c r="E20" s="136">
        <f t="shared" si="1"/>
        <v>760.68692307692299</v>
      </c>
      <c r="F20" s="136">
        <f t="shared" si="2"/>
        <v>1372.2792092307691</v>
      </c>
      <c r="G20" s="136">
        <f t="shared" si="3"/>
        <v>950.85865384615374</v>
      </c>
      <c r="H20" s="136">
        <f>'Randall Bosch'!$B$16</f>
        <v>5056.26</v>
      </c>
      <c r="I20" s="136">
        <f>'Randall Bosch'!$B$15</f>
        <v>10440</v>
      </c>
      <c r="J20" s="136">
        <f>'Randall Bosch'!$B$20</f>
        <v>1650</v>
      </c>
      <c r="K20" s="136">
        <f>'Randall Bosch'!$B$26</f>
        <v>0</v>
      </c>
      <c r="L20" s="136">
        <f t="shared" si="4"/>
        <v>36711.634786153845</v>
      </c>
      <c r="M20" s="27"/>
      <c r="N20" s="136">
        <f t="shared" si="5"/>
        <v>65.921128753846148</v>
      </c>
      <c r="O20" s="136">
        <f t="shared" si="6"/>
        <v>1648.0282188461538</v>
      </c>
      <c r="P20" s="136">
        <f t="shared" si="7"/>
        <v>164.80282188461538</v>
      </c>
      <c r="Q20" s="136">
        <f t="shared" si="8"/>
        <v>760.68692307692299</v>
      </c>
      <c r="R20" s="136">
        <f t="shared" si="9"/>
        <v>1372.2792092307691</v>
      </c>
      <c r="S20" s="136">
        <f t="shared" si="10"/>
        <v>950.85865384615374</v>
      </c>
      <c r="T20" s="136">
        <f>'Randall Bosch'!$B$18</f>
        <v>5600</v>
      </c>
      <c r="U20" s="137"/>
      <c r="V20" s="137"/>
      <c r="W20" s="136"/>
      <c r="X20" s="136"/>
      <c r="Y20" s="136"/>
      <c r="Z20" s="136">
        <v>177.12</v>
      </c>
      <c r="AA20" s="136">
        <f t="shared" si="11"/>
        <v>25971.93783051538</v>
      </c>
      <c r="AB20" s="27"/>
      <c r="AC20" s="134"/>
    </row>
    <row r="21" spans="1:29" x14ac:dyDescent="0.3">
      <c r="A21" s="134" t="s">
        <v>130</v>
      </c>
      <c r="B21" s="135" t="s">
        <v>131</v>
      </c>
      <c r="C21" s="135" t="s">
        <v>132</v>
      </c>
      <c r="D21" s="136">
        <f t="shared" si="0"/>
        <v>16481.55</v>
      </c>
      <c r="E21" s="136">
        <f t="shared" si="1"/>
        <v>760.68692307692299</v>
      </c>
      <c r="F21" s="136">
        <f t="shared" si="2"/>
        <v>1372.2792092307691</v>
      </c>
      <c r="G21" s="136">
        <f t="shared" si="3"/>
        <v>950.85865384615374</v>
      </c>
      <c r="H21" s="136">
        <f>'Papilon Ruwatira Tapiwa'!$B$16</f>
        <v>6435.2400000000007</v>
      </c>
      <c r="I21" s="136">
        <f>'Papilon Ruwatira Tapiwa'!$B$15</f>
        <v>18270</v>
      </c>
      <c r="J21" s="136">
        <f>'Papilon Ruwatira Tapiwa'!$B$20</f>
        <v>2100</v>
      </c>
      <c r="K21" s="136">
        <f>'Papilon Ruwatira Tapiwa'!$B$26</f>
        <v>0</v>
      </c>
      <c r="L21" s="136">
        <f t="shared" si="4"/>
        <v>46370.614786153848</v>
      </c>
      <c r="M21" s="27"/>
      <c r="N21" s="136">
        <f t="shared" si="5"/>
        <v>65.921128753846148</v>
      </c>
      <c r="O21" s="136">
        <f t="shared" si="6"/>
        <v>1648.0282188461538</v>
      </c>
      <c r="P21" s="136">
        <f t="shared" si="7"/>
        <v>164.80282188461538</v>
      </c>
      <c r="Q21" s="136">
        <f t="shared" si="8"/>
        <v>760.68692307692299</v>
      </c>
      <c r="R21" s="136">
        <f t="shared" si="9"/>
        <v>1372.2792092307691</v>
      </c>
      <c r="S21" s="136">
        <f t="shared" si="10"/>
        <v>950.85865384615374</v>
      </c>
      <c r="T21" s="136">
        <f>'Papilon Ruwatira Tapiwa'!$B$18</f>
        <v>5600</v>
      </c>
      <c r="U21" s="137"/>
      <c r="V21" s="137"/>
      <c r="W21" s="136"/>
      <c r="X21" s="136"/>
      <c r="Y21" s="136"/>
      <c r="Z21" s="136">
        <v>177.12</v>
      </c>
      <c r="AA21" s="136">
        <f t="shared" si="11"/>
        <v>35630.917830515376</v>
      </c>
      <c r="AB21" s="27"/>
      <c r="AC21" s="134"/>
    </row>
    <row r="22" spans="1:29" x14ac:dyDescent="0.3">
      <c r="A22" s="134" t="s">
        <v>133</v>
      </c>
      <c r="B22" s="135" t="s">
        <v>109</v>
      </c>
      <c r="C22" s="135" t="s">
        <v>137</v>
      </c>
      <c r="D22" s="136">
        <f t="shared" si="0"/>
        <v>16481.55</v>
      </c>
      <c r="E22" s="136">
        <f t="shared" si="1"/>
        <v>760.68692307692299</v>
      </c>
      <c r="F22" s="136">
        <f t="shared" si="2"/>
        <v>1372.2792092307691</v>
      </c>
      <c r="G22" s="136">
        <f t="shared" si="3"/>
        <v>950.85865384615374</v>
      </c>
      <c r="H22" s="136">
        <f>'Samuel Mmotsi'!$B$16</f>
        <v>5515.92</v>
      </c>
      <c r="I22" s="136">
        <f>'Samuel Mmotsi'!$B$15</f>
        <v>13050</v>
      </c>
      <c r="J22" s="136">
        <f>'Samuel Mmotsi'!$B$20</f>
        <v>1800</v>
      </c>
      <c r="K22" s="136">
        <f>'Samuel Mmotsi'!$B$26</f>
        <v>200</v>
      </c>
      <c r="L22" s="136">
        <f t="shared" si="4"/>
        <v>39931.294786153841</v>
      </c>
      <c r="M22" s="27"/>
      <c r="N22" s="136">
        <f t="shared" si="5"/>
        <v>65.921128753846148</v>
      </c>
      <c r="O22" s="136">
        <f t="shared" si="6"/>
        <v>1648.0282188461538</v>
      </c>
      <c r="P22" s="136">
        <f t="shared" si="7"/>
        <v>164.80282188461538</v>
      </c>
      <c r="Q22" s="136">
        <f t="shared" si="8"/>
        <v>760.68692307692299</v>
      </c>
      <c r="R22" s="136">
        <f t="shared" si="9"/>
        <v>1372.2792092307691</v>
      </c>
      <c r="S22" s="136">
        <f t="shared" si="10"/>
        <v>950.85865384615374</v>
      </c>
      <c r="T22" s="136">
        <f>'Samuel Mmotsi'!$B$18</f>
        <v>5600</v>
      </c>
      <c r="U22" s="137"/>
      <c r="V22" s="137"/>
      <c r="W22" s="136"/>
      <c r="X22" s="136"/>
      <c r="Y22" s="136"/>
      <c r="Z22" s="136">
        <v>177.12</v>
      </c>
      <c r="AA22" s="136">
        <f t="shared" si="11"/>
        <v>29191.597830515373</v>
      </c>
      <c r="AB22" s="27"/>
      <c r="AC22" s="134"/>
    </row>
    <row r="23" spans="1:29" x14ac:dyDescent="0.3">
      <c r="A23" s="134" t="s">
        <v>134</v>
      </c>
      <c r="B23" s="135" t="s">
        <v>138</v>
      </c>
      <c r="C23" s="135" t="s">
        <v>139</v>
      </c>
      <c r="D23" s="136">
        <f t="shared" si="0"/>
        <v>16481.55</v>
      </c>
      <c r="E23" s="136">
        <f t="shared" si="1"/>
        <v>760.68692307692299</v>
      </c>
      <c r="F23" s="136">
        <f t="shared" si="2"/>
        <v>1372.2792092307691</v>
      </c>
      <c r="G23" s="136">
        <f t="shared" si="3"/>
        <v>950.85865384615374</v>
      </c>
      <c r="H23" s="136">
        <f>'Freek Boss'!$B$16</f>
        <v>5515.92</v>
      </c>
      <c r="I23" s="136">
        <f>'Freek Boss'!$B$15</f>
        <v>13050</v>
      </c>
      <c r="J23" s="136">
        <f>'Freek Boss'!$B$20</f>
        <v>1800</v>
      </c>
      <c r="K23" s="136">
        <f>'Freek Boss'!$B$26</f>
        <v>200</v>
      </c>
      <c r="L23" s="136">
        <f t="shared" si="4"/>
        <v>39931.294786153841</v>
      </c>
      <c r="M23" s="27"/>
      <c r="N23" s="136">
        <f t="shared" si="5"/>
        <v>65.921128753846148</v>
      </c>
      <c r="O23" s="136">
        <f t="shared" si="6"/>
        <v>1648.0282188461538</v>
      </c>
      <c r="P23" s="136">
        <f t="shared" si="7"/>
        <v>164.80282188461538</v>
      </c>
      <c r="Q23" s="136">
        <f t="shared" si="8"/>
        <v>760.68692307692299</v>
      </c>
      <c r="R23" s="136">
        <f t="shared" si="9"/>
        <v>1372.2792092307691</v>
      </c>
      <c r="S23" s="136">
        <f t="shared" si="10"/>
        <v>950.85865384615374</v>
      </c>
      <c r="T23" s="136">
        <f>'Freek Boss'!$B$18</f>
        <v>5600</v>
      </c>
      <c r="U23" s="137"/>
      <c r="V23" s="137"/>
      <c r="W23" s="136"/>
      <c r="X23" s="136"/>
      <c r="Y23" s="136"/>
      <c r="Z23" s="136">
        <v>177.12</v>
      </c>
      <c r="AA23" s="136">
        <f t="shared" si="11"/>
        <v>29191.597830515373</v>
      </c>
      <c r="AB23" s="27"/>
      <c r="AC23" s="134"/>
    </row>
    <row r="24" spans="1:29" x14ac:dyDescent="0.3">
      <c r="A24" s="134" t="s">
        <v>141</v>
      </c>
      <c r="B24" s="135" t="s">
        <v>142</v>
      </c>
      <c r="C24" s="135" t="s">
        <v>143</v>
      </c>
      <c r="D24" s="136">
        <f t="shared" si="0"/>
        <v>16481.55</v>
      </c>
      <c r="E24" s="136">
        <f t="shared" si="1"/>
        <v>760.68692307692299</v>
      </c>
      <c r="F24" s="136">
        <f t="shared" si="2"/>
        <v>1372.2792092307691</v>
      </c>
      <c r="G24" s="136">
        <f t="shared" si="3"/>
        <v>950.85865384615374</v>
      </c>
      <c r="H24" s="136">
        <f>' AUBRY Gaebidiwe'!$B$16</f>
        <v>5515.92</v>
      </c>
      <c r="I24" s="136">
        <f>' AUBRY Gaebidiwe'!$B$15</f>
        <v>13050</v>
      </c>
      <c r="J24" s="136">
        <f>' AUBRY Gaebidiwe'!$B$20</f>
        <v>1800</v>
      </c>
      <c r="K24" s="136">
        <f>' AUBRY Gaebidiwe'!$B$26</f>
        <v>400</v>
      </c>
      <c r="L24" s="136">
        <f t="shared" si="4"/>
        <v>39931.294786153841</v>
      </c>
      <c r="M24" s="27"/>
      <c r="N24" s="136">
        <f t="shared" si="5"/>
        <v>65.921128753846148</v>
      </c>
      <c r="O24" s="136">
        <f t="shared" si="6"/>
        <v>1648.0282188461538</v>
      </c>
      <c r="P24" s="136">
        <f t="shared" si="7"/>
        <v>164.80282188461538</v>
      </c>
      <c r="Q24" s="136">
        <f t="shared" si="8"/>
        <v>760.68692307692299</v>
      </c>
      <c r="R24" s="136">
        <f t="shared" si="9"/>
        <v>1372.2792092307691</v>
      </c>
      <c r="S24" s="136">
        <f t="shared" si="10"/>
        <v>950.85865384615374</v>
      </c>
      <c r="T24" s="136">
        <f>' AUBRY Gaebidiwe'!$B$18</f>
        <v>5600</v>
      </c>
      <c r="U24" s="137"/>
      <c r="V24" s="137"/>
      <c r="W24" s="136"/>
      <c r="X24" s="136"/>
      <c r="Y24" s="136"/>
      <c r="Z24" s="136">
        <v>177.12</v>
      </c>
      <c r="AA24" s="136">
        <f t="shared" si="11"/>
        <v>29191.597830515373</v>
      </c>
      <c r="AB24" s="27"/>
      <c r="AC24" s="134"/>
    </row>
    <row r="25" spans="1:29" x14ac:dyDescent="0.3">
      <c r="A25" s="134" t="s">
        <v>146</v>
      </c>
      <c r="B25" s="135" t="s">
        <v>148</v>
      </c>
      <c r="C25" s="135" t="s">
        <v>147</v>
      </c>
      <c r="D25" s="136">
        <f t="shared" si="0"/>
        <v>16481.55</v>
      </c>
      <c r="E25" s="136">
        <f t="shared" si="1"/>
        <v>760.68692307692299</v>
      </c>
      <c r="F25" s="136">
        <f t="shared" si="2"/>
        <v>1372.2792092307691</v>
      </c>
      <c r="G25" s="136">
        <f t="shared" si="3"/>
        <v>950.85865384615374</v>
      </c>
      <c r="H25" s="136">
        <f>'Pieter Hendrikcs'!$B$16</f>
        <v>3217.6200000000003</v>
      </c>
      <c r="I25" s="136">
        <f>'Pieter Hendrikcs'!$B$15</f>
        <v>0</v>
      </c>
      <c r="J25" s="136">
        <f>'Pieter Hendrikcs'!$B$20</f>
        <v>0</v>
      </c>
      <c r="K25" s="136">
        <f>'Pieter Hendrikcs'!$B$26</f>
        <v>400</v>
      </c>
      <c r="L25" s="136">
        <f t="shared" si="4"/>
        <v>22782.994786153842</v>
      </c>
      <c r="M25" s="27"/>
      <c r="N25" s="136">
        <f t="shared" si="5"/>
        <v>65.921128753846148</v>
      </c>
      <c r="O25" s="136">
        <f t="shared" si="6"/>
        <v>1648.0282188461538</v>
      </c>
      <c r="P25" s="136">
        <f t="shared" si="7"/>
        <v>164.80282188461538</v>
      </c>
      <c r="Q25" s="136">
        <f t="shared" si="8"/>
        <v>760.68692307692299</v>
      </c>
      <c r="R25" s="136">
        <f t="shared" si="9"/>
        <v>1372.2792092307691</v>
      </c>
      <c r="S25" s="136">
        <f t="shared" si="10"/>
        <v>950.85865384615374</v>
      </c>
      <c r="T25" s="136">
        <f>'Pieter Hendrikcs'!$B$18</f>
        <v>4200</v>
      </c>
      <c r="U25" s="137"/>
      <c r="V25" s="137"/>
      <c r="W25" s="136"/>
      <c r="X25" s="136"/>
      <c r="Y25" s="136"/>
      <c r="Z25" s="136">
        <v>177.12</v>
      </c>
      <c r="AA25" s="136">
        <f t="shared" si="11"/>
        <v>13443.297830515383</v>
      </c>
      <c r="AB25" s="27"/>
      <c r="AC25" s="134"/>
    </row>
    <row r="26" spans="1:29" x14ac:dyDescent="0.3">
      <c r="A26" s="134" t="s">
        <v>181</v>
      </c>
      <c r="B26" s="135" t="s">
        <v>185</v>
      </c>
      <c r="C26" s="135" t="s">
        <v>186</v>
      </c>
      <c r="D26" s="136">
        <f t="shared" si="0"/>
        <v>16481.55</v>
      </c>
      <c r="E26" s="136">
        <f t="shared" si="1"/>
        <v>760.68692307692299</v>
      </c>
      <c r="F26" s="136">
        <f t="shared" si="2"/>
        <v>1372.2792092307691</v>
      </c>
      <c r="G26" s="136">
        <f t="shared" si="3"/>
        <v>950.85865384615374</v>
      </c>
      <c r="H26" s="136">
        <f>'Miguel Maseka'!$B$16</f>
        <v>5975.58</v>
      </c>
      <c r="I26" s="136">
        <f>'Miguel Maseka'!$B$15</f>
        <v>15660</v>
      </c>
      <c r="J26" s="136">
        <f>'Miguel Maseka'!$B$20</f>
        <v>1950</v>
      </c>
      <c r="K26" s="136">
        <f>'Miguel Maseka'!$B$26</f>
        <v>800</v>
      </c>
      <c r="L26" s="136">
        <f t="shared" ref="L26:L28" si="12">SUM(D26:J26)</f>
        <v>43150.954786153845</v>
      </c>
      <c r="M26" s="27"/>
      <c r="N26" s="136">
        <f t="shared" si="5"/>
        <v>65.921128753846148</v>
      </c>
      <c r="O26" s="136">
        <f t="shared" si="6"/>
        <v>1648.0282188461538</v>
      </c>
      <c r="P26" s="136">
        <f t="shared" si="7"/>
        <v>164.80282188461538</v>
      </c>
      <c r="Q26" s="136">
        <f t="shared" si="8"/>
        <v>760.68692307692299</v>
      </c>
      <c r="R26" s="136">
        <f t="shared" si="9"/>
        <v>1372.2792092307691</v>
      </c>
      <c r="S26" s="136">
        <f t="shared" si="10"/>
        <v>950.85865384615374</v>
      </c>
      <c r="T26" s="136">
        <f>'Miguel Maseka'!$B$18</f>
        <v>5600</v>
      </c>
      <c r="U26" s="137"/>
      <c r="V26" s="137"/>
      <c r="W26" s="136"/>
      <c r="X26" s="136"/>
      <c r="Y26" s="136"/>
      <c r="Z26" s="136">
        <v>177.12</v>
      </c>
      <c r="AA26" s="136">
        <f t="shared" ref="AA26:AA28" si="13">+L26-N26-O26-P26-Q26-R26-S26-T26-U26-Y26-Z26</f>
        <v>32411.257830515377</v>
      </c>
      <c r="AB26" s="27"/>
      <c r="AC26" s="134"/>
    </row>
    <row r="27" spans="1:29" x14ac:dyDescent="0.3">
      <c r="A27" s="134" t="s">
        <v>182</v>
      </c>
      <c r="B27" s="135" t="s">
        <v>187</v>
      </c>
      <c r="C27" s="135" t="s">
        <v>188</v>
      </c>
      <c r="D27" s="136">
        <f t="shared" si="0"/>
        <v>16481.55</v>
      </c>
      <c r="E27" s="136">
        <f t="shared" si="1"/>
        <v>760.68692307692299</v>
      </c>
      <c r="F27" s="136">
        <f t="shared" si="2"/>
        <v>1372.2792092307691</v>
      </c>
      <c r="G27" s="136">
        <f t="shared" si="3"/>
        <v>950.85865384615374</v>
      </c>
      <c r="H27" s="136">
        <f>'Simon Tshidiso Sethunya'!$B$16</f>
        <v>5975.58</v>
      </c>
      <c r="I27" s="136">
        <f>'Simon Tshidiso Sethunya'!$B$15</f>
        <v>15660</v>
      </c>
      <c r="J27" s="136">
        <f>'Simon Tshidiso Sethunya'!$B$20</f>
        <v>1950</v>
      </c>
      <c r="K27" s="136">
        <f>'Simon Tshidiso Sethunya'!$B$26</f>
        <v>400</v>
      </c>
      <c r="L27" s="136">
        <f>SUM(D27:J27)</f>
        <v>43150.954786153845</v>
      </c>
      <c r="M27" s="27"/>
      <c r="N27" s="136">
        <f t="shared" si="5"/>
        <v>65.921128753846148</v>
      </c>
      <c r="O27" s="136">
        <f t="shared" si="6"/>
        <v>1648.0282188461538</v>
      </c>
      <c r="P27" s="136">
        <f t="shared" si="7"/>
        <v>164.80282188461538</v>
      </c>
      <c r="Q27" s="136">
        <f t="shared" si="8"/>
        <v>760.68692307692299</v>
      </c>
      <c r="R27" s="136">
        <f t="shared" si="9"/>
        <v>1372.2792092307691</v>
      </c>
      <c r="S27" s="136">
        <f t="shared" si="10"/>
        <v>950.85865384615374</v>
      </c>
      <c r="T27" s="136">
        <f>'Simon Tshidiso Sethunya'!$B$18</f>
        <v>5600</v>
      </c>
      <c r="U27" s="137"/>
      <c r="V27" s="137"/>
      <c r="W27" s="136"/>
      <c r="X27" s="136"/>
      <c r="Y27" s="136"/>
      <c r="Z27" s="136">
        <v>177.12</v>
      </c>
      <c r="AA27" s="136">
        <f t="shared" si="13"/>
        <v>32411.257830515377</v>
      </c>
      <c r="AB27" s="27"/>
      <c r="AC27" s="134"/>
    </row>
    <row r="28" spans="1:29" x14ac:dyDescent="0.3">
      <c r="A28" s="134" t="s">
        <v>183</v>
      </c>
      <c r="B28" s="135" t="s">
        <v>189</v>
      </c>
      <c r="C28" s="135" t="s">
        <v>190</v>
      </c>
      <c r="D28" s="136">
        <f t="shared" si="0"/>
        <v>16481.55</v>
      </c>
      <c r="E28" s="136">
        <f t="shared" si="1"/>
        <v>760.68692307692299</v>
      </c>
      <c r="F28" s="136">
        <f t="shared" si="2"/>
        <v>1372.2792092307691</v>
      </c>
      <c r="G28" s="136">
        <f t="shared" si="3"/>
        <v>950.85865384615374</v>
      </c>
      <c r="H28" s="136">
        <f>'Johny Jacobs'!$B$16</f>
        <v>5975.58</v>
      </c>
      <c r="I28" s="136">
        <f>'Johny Jacobs'!$B$15</f>
        <v>15660</v>
      </c>
      <c r="J28" s="136">
        <f>'Johny Jacobs'!$B$20</f>
        <v>1950</v>
      </c>
      <c r="K28" s="136">
        <f>'Johny Jacobs'!$B$26</f>
        <v>600</v>
      </c>
      <c r="L28" s="136">
        <f t="shared" si="12"/>
        <v>43150.954786153845</v>
      </c>
      <c r="M28" s="27"/>
      <c r="N28" s="136">
        <f t="shared" si="5"/>
        <v>65.921128753846148</v>
      </c>
      <c r="O28" s="136">
        <f t="shared" si="6"/>
        <v>1648.0282188461538</v>
      </c>
      <c r="P28" s="136">
        <f t="shared" si="7"/>
        <v>164.80282188461538</v>
      </c>
      <c r="Q28" s="136">
        <f t="shared" si="8"/>
        <v>760.68692307692299</v>
      </c>
      <c r="R28" s="136">
        <f t="shared" si="9"/>
        <v>1372.2792092307691</v>
      </c>
      <c r="S28" s="136">
        <f t="shared" si="10"/>
        <v>950.85865384615374</v>
      </c>
      <c r="T28" s="136">
        <f>'Johny Jacobs'!$B$18</f>
        <v>5600</v>
      </c>
      <c r="U28" s="137"/>
      <c r="V28" s="137"/>
      <c r="W28" s="136"/>
      <c r="X28" s="136"/>
      <c r="Y28" s="136"/>
      <c r="Z28" s="136">
        <v>177.12</v>
      </c>
      <c r="AA28" s="136">
        <f t="shared" si="13"/>
        <v>32411.257830515377</v>
      </c>
      <c r="AB28" s="27"/>
      <c r="AC28" s="134"/>
    </row>
    <row r="29" spans="1:29" x14ac:dyDescent="0.3">
      <c r="A29" s="134" t="s">
        <v>184</v>
      </c>
      <c r="B29" s="135" t="s">
        <v>71</v>
      </c>
      <c r="C29" s="135" t="s">
        <v>191</v>
      </c>
      <c r="D29" s="136">
        <f t="shared" si="0"/>
        <v>16481.55</v>
      </c>
      <c r="E29" s="136">
        <f t="shared" si="1"/>
        <v>760.68692307692299</v>
      </c>
      <c r="F29" s="136">
        <f t="shared" si="2"/>
        <v>1372.2792092307691</v>
      </c>
      <c r="G29" s="136">
        <f t="shared" si="3"/>
        <v>950.85865384615374</v>
      </c>
      <c r="H29" s="136">
        <f>'David Mohapeloa'!$B$16</f>
        <v>5975.58</v>
      </c>
      <c r="I29" s="136">
        <f>'David Mohapeloa'!$B$15</f>
        <v>15660</v>
      </c>
      <c r="J29" s="136">
        <f>'David Mohapeloa'!$B$20</f>
        <v>1950</v>
      </c>
      <c r="K29" s="136">
        <f>'David Mohapeloa'!$B$26</f>
        <v>0</v>
      </c>
      <c r="L29" s="136">
        <f t="shared" ref="L29" si="14">SUM(D29:J29)</f>
        <v>43150.954786153845</v>
      </c>
      <c r="M29" s="27"/>
      <c r="N29" s="136">
        <f t="shared" si="5"/>
        <v>65.921128753846148</v>
      </c>
      <c r="O29" s="136">
        <f t="shared" si="6"/>
        <v>1648.0282188461538</v>
      </c>
      <c r="P29" s="136">
        <f t="shared" si="7"/>
        <v>164.80282188461538</v>
      </c>
      <c r="Q29" s="136">
        <f t="shared" si="8"/>
        <v>760.68692307692299</v>
      </c>
      <c r="R29" s="136">
        <f t="shared" si="9"/>
        <v>1372.2792092307691</v>
      </c>
      <c r="S29" s="136">
        <f t="shared" si="10"/>
        <v>950.85865384615374</v>
      </c>
      <c r="T29" s="136">
        <f>'David Mohapeloa'!$B$18</f>
        <v>5600</v>
      </c>
      <c r="U29" s="137"/>
      <c r="V29" s="137"/>
      <c r="W29" s="136"/>
      <c r="X29" s="136"/>
      <c r="Y29" s="136"/>
      <c r="Z29" s="136">
        <v>177.12</v>
      </c>
      <c r="AA29" s="136">
        <f t="shared" ref="AA29" si="15">+L29-N29-O29-P29-Q29-R29-S29-T29-U29-Y29-Z29</f>
        <v>32411.257830515377</v>
      </c>
      <c r="AB29" s="27"/>
      <c r="AC29" s="134"/>
    </row>
    <row r="30" spans="1:29" x14ac:dyDescent="0.3">
      <c r="D30" s="32">
        <f>SUM(D5:D29)</f>
        <v>412038.74999999983</v>
      </c>
      <c r="E30" s="32">
        <f t="shared" ref="E30:L30" si="16">SUM(E5:E29)</f>
        <v>19017.173076923067</v>
      </c>
      <c r="F30" s="32">
        <f t="shared" si="16"/>
        <v>34306.980230769215</v>
      </c>
      <c r="G30" s="32">
        <f t="shared" si="16"/>
        <v>23771.466346153837</v>
      </c>
      <c r="H30" s="32">
        <f t="shared" si="16"/>
        <v>144333.23999999996</v>
      </c>
      <c r="I30" s="32">
        <f t="shared" si="16"/>
        <v>362790</v>
      </c>
      <c r="J30" s="32">
        <f t="shared" si="16"/>
        <v>45900</v>
      </c>
      <c r="K30" s="32">
        <f t="shared" si="16"/>
        <v>6200</v>
      </c>
      <c r="L30" s="32">
        <f t="shared" si="16"/>
        <v>1042157.6096538461</v>
      </c>
      <c r="U30" t="s">
        <v>179</v>
      </c>
    </row>
    <row r="32" spans="1:29" x14ac:dyDescent="0.3">
      <c r="W32" s="71"/>
      <c r="X32" s="71"/>
      <c r="Y32" s="71"/>
    </row>
    <row r="37" spans="21:25" x14ac:dyDescent="0.3">
      <c r="U37" s="43"/>
      <c r="W37" s="43"/>
      <c r="X37" s="43"/>
      <c r="Y37" s="43"/>
    </row>
    <row r="39" spans="21:25" x14ac:dyDescent="0.3">
      <c r="W39" s="106"/>
      <c r="X39" s="106"/>
      <c r="Y39" s="106"/>
    </row>
  </sheetData>
  <autoFilter ref="A4:AF15" xr:uid="{0EB12ED9-7911-48AA-AF0D-B9400D1CAA86}">
    <sortState xmlns:xlrd2="http://schemas.microsoft.com/office/spreadsheetml/2017/richdata2" ref="A5:AD26">
      <sortCondition ref="A4:A15"/>
    </sortState>
  </autoFilter>
  <mergeCells count="3">
    <mergeCell ref="B1:D1"/>
    <mergeCell ref="D3:O3"/>
    <mergeCell ref="Q3:AD3"/>
  </mergeCells>
  <phoneticPr fontId="19" type="noConversion"/>
  <pageMargins left="0.7" right="0.7" top="0.75" bottom="0.75" header="0.3" footer="0.3"/>
  <pageSetup paperSize="9" scale="28" fitToHeight="0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0CD48-E360-4EFB-A2D5-C26E47F3D6D4}">
  <sheetPr>
    <tabColor rgb="FFFFFF00"/>
  </sheetPr>
  <dimension ref="A1:N39"/>
  <sheetViews>
    <sheetView zoomScaleNormal="100" workbookViewId="0"/>
  </sheetViews>
  <sheetFormatPr defaultColWidth="9.109375" defaultRowHeight="14.4" x14ac:dyDescent="0.3"/>
  <cols>
    <col min="1" max="1" width="51.5546875" bestFit="1" customWidth="1"/>
    <col min="2" max="2" width="14.5546875" customWidth="1"/>
    <col min="3" max="3" width="26.6640625" bestFit="1" customWidth="1"/>
    <col min="4" max="4" width="15.33203125" bestFit="1" customWidth="1"/>
    <col min="5" max="5" width="14.5546875" customWidth="1"/>
    <col min="6" max="6" width="21.5546875" bestFit="1" customWidth="1"/>
    <col min="7" max="7" width="15" hidden="1" customWidth="1"/>
    <col min="8" max="8" width="14.44140625" bestFit="1" customWidth="1"/>
    <col min="10" max="10" width="12.44140625" customWidth="1"/>
    <col min="12" max="12" width="10.44140625" bestFit="1" customWidth="1"/>
    <col min="14" max="14" width="10.44140625" bestFit="1" customWidth="1"/>
  </cols>
  <sheetData>
    <row r="1" spans="1:12" ht="15" thickBot="1" x14ac:dyDescent="0.35">
      <c r="A1" s="91" t="s">
        <v>192</v>
      </c>
      <c r="B1" s="92"/>
      <c r="C1" s="92"/>
      <c r="F1" s="93" t="s">
        <v>60</v>
      </c>
      <c r="G1" s="94"/>
      <c r="H1" s="95"/>
    </row>
    <row r="3" spans="1:12" ht="15.6" x14ac:dyDescent="0.3">
      <c r="B3" s="13" t="s">
        <v>56</v>
      </c>
      <c r="C3" s="13" t="s">
        <v>57</v>
      </c>
      <c r="G3" s="13" t="s">
        <v>56</v>
      </c>
      <c r="H3" s="13" t="s">
        <v>57</v>
      </c>
      <c r="J3" s="16"/>
      <c r="K3" s="16"/>
    </row>
    <row r="4" spans="1:12" x14ac:dyDescent="0.3">
      <c r="F4" t="s">
        <v>46</v>
      </c>
      <c r="G4" s="8">
        <v>13574.38</v>
      </c>
      <c r="H4" s="9">
        <v>16481.580000000002</v>
      </c>
    </row>
    <row r="5" spans="1:12" x14ac:dyDescent="0.3">
      <c r="A5" s="1" t="s">
        <v>58</v>
      </c>
      <c r="B5" s="96">
        <f>H4</f>
        <v>16481.580000000002</v>
      </c>
      <c r="C5" s="96"/>
      <c r="D5" s="14"/>
      <c r="F5" t="s">
        <v>55</v>
      </c>
      <c r="G5" s="8">
        <v>2835</v>
      </c>
      <c r="H5" s="8">
        <f>+H29*7</f>
        <v>3217.6200000000003</v>
      </c>
    </row>
    <row r="6" spans="1:12" ht="15.6" x14ac:dyDescent="0.3">
      <c r="A6" s="1" t="s">
        <v>65</v>
      </c>
      <c r="B6" s="4"/>
      <c r="C6" s="26">
        <v>7</v>
      </c>
      <c r="F6" s="10" t="s">
        <v>47</v>
      </c>
      <c r="G6" s="11">
        <f>SUM(G4:G5)</f>
        <v>16409.379999999997</v>
      </c>
      <c r="H6" s="11">
        <f>SUM(H4:H5)</f>
        <v>19699.2</v>
      </c>
    </row>
    <row r="7" spans="1:12" x14ac:dyDescent="0.3">
      <c r="A7" s="1" t="s">
        <v>59</v>
      </c>
      <c r="B7" s="15">
        <f>+$G$29*B6</f>
        <v>0</v>
      </c>
      <c r="C7" s="15">
        <f>H5</f>
        <v>3217.6200000000003</v>
      </c>
    </row>
    <row r="8" spans="1:12" x14ac:dyDescent="0.3">
      <c r="F8" t="s">
        <v>48</v>
      </c>
      <c r="G8" s="9">
        <v>2900</v>
      </c>
      <c r="H8" s="9">
        <v>2610</v>
      </c>
    </row>
    <row r="9" spans="1:12" x14ac:dyDescent="0.3">
      <c r="A9" s="1" t="s">
        <v>63</v>
      </c>
      <c r="B9" s="4">
        <v>0</v>
      </c>
      <c r="C9" s="4">
        <v>3</v>
      </c>
      <c r="D9" s="24">
        <f>+C6+C9</f>
        <v>10</v>
      </c>
      <c r="F9" t="s">
        <v>54</v>
      </c>
      <c r="G9" s="12">
        <v>405</v>
      </c>
      <c r="H9" s="12">
        <f>+H29</f>
        <v>459.66</v>
      </c>
    </row>
    <row r="10" spans="1:12" ht="15.6" x14ac:dyDescent="0.3">
      <c r="A10" s="1" t="s">
        <v>62</v>
      </c>
      <c r="B10" s="15">
        <f>+$G$30*B9</f>
        <v>0</v>
      </c>
      <c r="C10" s="15">
        <f>+$H$30*C9</f>
        <v>7830</v>
      </c>
      <c r="F10" s="10" t="s">
        <v>49</v>
      </c>
      <c r="G10" s="11">
        <f>+$G$6+G8+G9</f>
        <v>19714.379999999997</v>
      </c>
      <c r="H10" s="11">
        <f>+$H$6+H8+H9</f>
        <v>22768.86</v>
      </c>
    </row>
    <row r="11" spans="1:12" x14ac:dyDescent="0.3">
      <c r="A11" s="1" t="s">
        <v>67</v>
      </c>
      <c r="B11" s="15">
        <f>+$G$29*B9</f>
        <v>0</v>
      </c>
      <c r="C11" s="15">
        <f>+$H$29*C9</f>
        <v>1378.98</v>
      </c>
    </row>
    <row r="12" spans="1:12" x14ac:dyDescent="0.3">
      <c r="F12" t="s">
        <v>50</v>
      </c>
      <c r="G12" s="9">
        <v>5800</v>
      </c>
      <c r="H12" s="9">
        <v>5220</v>
      </c>
      <c r="L12" s="23"/>
    </row>
    <row r="13" spans="1:12" x14ac:dyDescent="0.3">
      <c r="D13" s="18"/>
      <c r="F13" t="s">
        <v>54</v>
      </c>
      <c r="G13" s="12">
        <v>810</v>
      </c>
      <c r="H13" s="12">
        <f>+H29*2</f>
        <v>919.32</v>
      </c>
    </row>
    <row r="14" spans="1:12" ht="15.6" x14ac:dyDescent="0.3">
      <c r="F14" s="10" t="s">
        <v>49</v>
      </c>
      <c r="G14" s="11">
        <f>+$G$6+G12+G13</f>
        <v>23019.379999999997</v>
      </c>
      <c r="H14" s="11">
        <f>+$H$6+H12+H13</f>
        <v>25838.52</v>
      </c>
    </row>
    <row r="15" spans="1:12" x14ac:dyDescent="0.3">
      <c r="A15" s="1" t="s">
        <v>68</v>
      </c>
      <c r="B15" s="15">
        <f>+B10+C10</f>
        <v>7830</v>
      </c>
      <c r="C15" s="20"/>
      <c r="D15" s="14"/>
    </row>
    <row r="16" spans="1:12" x14ac:dyDescent="0.3">
      <c r="A16" s="80" t="s">
        <v>66</v>
      </c>
      <c r="B16" s="81">
        <f>C11+B11+B7+C7</f>
        <v>4596.6000000000004</v>
      </c>
      <c r="C16" s="21"/>
      <c r="D16" s="17"/>
      <c r="F16" t="s">
        <v>51</v>
      </c>
      <c r="G16" s="9">
        <v>8700</v>
      </c>
      <c r="H16" s="9">
        <v>7830</v>
      </c>
    </row>
    <row r="17" spans="1:14" x14ac:dyDescent="0.3">
      <c r="F17" t="s">
        <v>54</v>
      </c>
      <c r="G17" s="12">
        <v>1215</v>
      </c>
      <c r="H17" s="12">
        <f>+H29*3</f>
        <v>1378.98</v>
      </c>
    </row>
    <row r="18" spans="1:14" ht="15.6" x14ac:dyDescent="0.3">
      <c r="A18" s="1" t="s">
        <v>69</v>
      </c>
      <c r="B18" s="1">
        <v>3000</v>
      </c>
      <c r="F18" s="10" t="s">
        <v>49</v>
      </c>
      <c r="G18" s="11">
        <f>+$G$6+G16+G17</f>
        <v>26324.379999999997</v>
      </c>
      <c r="H18" s="11">
        <f>+$H$6+H16+H17</f>
        <v>28908.18</v>
      </c>
      <c r="L18" s="23"/>
    </row>
    <row r="19" spans="1:14" ht="15" thickBot="1" x14ac:dyDescent="0.35">
      <c r="A19" s="1"/>
      <c r="B19" s="1"/>
      <c r="C19" s="18"/>
    </row>
    <row r="20" spans="1:14" ht="15" thickBot="1" x14ac:dyDescent="0.35">
      <c r="A20" s="146" t="s">
        <v>163</v>
      </c>
      <c r="B20" s="147">
        <f>SUM(B21:B24)</f>
        <v>0</v>
      </c>
      <c r="C20" s="17" t="s">
        <v>165</v>
      </c>
      <c r="F20" t="s">
        <v>52</v>
      </c>
      <c r="G20" s="9">
        <v>11600</v>
      </c>
      <c r="H20" s="9">
        <v>10440</v>
      </c>
      <c r="N20" s="23"/>
    </row>
    <row r="21" spans="1:14" x14ac:dyDescent="0.3">
      <c r="A21" s="144"/>
      <c r="B21" s="145"/>
      <c r="F21" t="s">
        <v>54</v>
      </c>
      <c r="G21" s="12">
        <v>1620</v>
      </c>
      <c r="H21" s="12">
        <f>+H29*4</f>
        <v>1838.64</v>
      </c>
      <c r="L21" s="23"/>
      <c r="N21" s="14"/>
    </row>
    <row r="22" spans="1:14" ht="15.6" x14ac:dyDescent="0.3">
      <c r="A22" s="140"/>
      <c r="B22" s="141"/>
      <c r="F22" s="10" t="s">
        <v>49</v>
      </c>
      <c r="G22" s="11">
        <f>+$G$6+G20+G21</f>
        <v>29629.379999999997</v>
      </c>
      <c r="H22" s="11">
        <f>+$H$6+H20+H21</f>
        <v>31977.84</v>
      </c>
    </row>
    <row r="23" spans="1:14" x14ac:dyDescent="0.3">
      <c r="A23" s="140"/>
      <c r="B23" s="141"/>
      <c r="C23" s="14"/>
    </row>
    <row r="24" spans="1:14" ht="15" thickBot="1" x14ac:dyDescent="0.35">
      <c r="A24" s="142"/>
      <c r="B24" s="143"/>
      <c r="C24" s="88"/>
      <c r="D24" s="88"/>
      <c r="E24" s="88"/>
      <c r="F24" t="s">
        <v>53</v>
      </c>
      <c r="G24" s="9">
        <v>14500</v>
      </c>
      <c r="H24" s="9">
        <v>13050</v>
      </c>
    </row>
    <row r="25" spans="1:14" ht="15" thickBot="1" x14ac:dyDescent="0.35">
      <c r="C25" s="90"/>
      <c r="D25" s="99"/>
      <c r="E25" s="90"/>
      <c r="F25" t="s">
        <v>54</v>
      </c>
      <c r="G25" s="12">
        <v>2025</v>
      </c>
      <c r="H25" s="12">
        <f>+H29*5</f>
        <v>2298.3000000000002</v>
      </c>
    </row>
    <row r="26" spans="1:14" ht="16.2" thickBot="1" x14ac:dyDescent="0.35">
      <c r="A26" s="146" t="s">
        <v>164</v>
      </c>
      <c r="B26" s="148">
        <f>SUM(B27:B30)</f>
        <v>0</v>
      </c>
      <c r="C26" s="17" t="s">
        <v>165</v>
      </c>
      <c r="D26" s="90"/>
      <c r="E26" s="90"/>
      <c r="F26" s="10" t="s">
        <v>49</v>
      </c>
      <c r="G26" s="11">
        <f>+$G$6+G24+G25</f>
        <v>32934.379999999997</v>
      </c>
      <c r="H26" s="11">
        <f>+$H$6+H24+H25</f>
        <v>35047.5</v>
      </c>
      <c r="N26" s="23"/>
    </row>
    <row r="27" spans="1:14" x14ac:dyDescent="0.3">
      <c r="A27" s="144"/>
      <c r="B27" s="145"/>
      <c r="N27" s="23"/>
    </row>
    <row r="28" spans="1:14" x14ac:dyDescent="0.3">
      <c r="A28" s="140"/>
      <c r="B28" s="141"/>
    </row>
    <row r="29" spans="1:14" x14ac:dyDescent="0.3">
      <c r="A29" s="140"/>
      <c r="B29" s="141"/>
      <c r="F29" t="s">
        <v>61</v>
      </c>
      <c r="G29" s="14">
        <v>405</v>
      </c>
      <c r="H29" s="14">
        <v>459.66</v>
      </c>
      <c r="I29" s="14"/>
    </row>
    <row r="30" spans="1:14" ht="15" thickBot="1" x14ac:dyDescent="0.35">
      <c r="A30" s="142"/>
      <c r="B30" s="143"/>
      <c r="F30" t="s">
        <v>64</v>
      </c>
      <c r="G30" s="14">
        <v>2900</v>
      </c>
      <c r="H30" s="14">
        <v>2610</v>
      </c>
    </row>
    <row r="31" spans="1:14" x14ac:dyDescent="0.3">
      <c r="A31" s="88"/>
      <c r="B31" s="90"/>
    </row>
    <row r="33" spans="1:5" x14ac:dyDescent="0.3">
      <c r="A33" s="88"/>
      <c r="B33" s="88"/>
      <c r="C33" s="88"/>
      <c r="E33" s="88"/>
    </row>
    <row r="34" spans="1:5" x14ac:dyDescent="0.3">
      <c r="A34" s="90"/>
      <c r="B34" s="90"/>
      <c r="C34" s="90"/>
      <c r="D34" s="88"/>
      <c r="E34" s="99"/>
    </row>
    <row r="38" spans="1:5" x14ac:dyDescent="0.3">
      <c r="A38" s="88"/>
      <c r="B38" s="88"/>
    </row>
    <row r="39" spans="1:5" x14ac:dyDescent="0.3">
      <c r="A39" s="98"/>
      <c r="B39" s="98"/>
    </row>
  </sheetData>
  <pageMargins left="0.7" right="0.7" top="0.75" bottom="0.75" header="0.3" footer="0.3"/>
  <pageSetup paperSize="9" orientation="portrait" horizontalDpi="4294967293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7D8EF-9D5F-4826-9F05-71F31DA011A0}">
  <sheetPr>
    <tabColor rgb="FFFFFF00"/>
  </sheetPr>
  <dimension ref="A1:N39"/>
  <sheetViews>
    <sheetView zoomScaleNormal="100" workbookViewId="0"/>
  </sheetViews>
  <sheetFormatPr defaultColWidth="9.109375" defaultRowHeight="14.4" x14ac:dyDescent="0.3"/>
  <cols>
    <col min="1" max="1" width="51.5546875" bestFit="1" customWidth="1"/>
    <col min="2" max="2" width="14.5546875" customWidth="1"/>
    <col min="3" max="3" width="26.6640625" bestFit="1" customWidth="1"/>
    <col min="4" max="4" width="15.33203125" bestFit="1" customWidth="1"/>
    <col min="5" max="5" width="14.5546875" customWidth="1"/>
    <col min="6" max="6" width="21.5546875" bestFit="1" customWidth="1"/>
    <col min="7" max="7" width="15" hidden="1" customWidth="1"/>
    <col min="8" max="8" width="14.44140625" bestFit="1" customWidth="1"/>
    <col min="10" max="10" width="12.44140625" customWidth="1"/>
    <col min="12" max="12" width="10.44140625" bestFit="1" customWidth="1"/>
    <col min="14" max="14" width="10.44140625" bestFit="1" customWidth="1"/>
  </cols>
  <sheetData>
    <row r="1" spans="1:12" ht="15" thickBot="1" x14ac:dyDescent="0.35">
      <c r="A1" s="91" t="s">
        <v>140</v>
      </c>
      <c r="B1" s="92"/>
      <c r="C1" s="92"/>
      <c r="F1" s="93" t="s">
        <v>60</v>
      </c>
      <c r="G1" s="94"/>
      <c r="H1" s="95"/>
    </row>
    <row r="3" spans="1:12" ht="15.6" x14ac:dyDescent="0.3">
      <c r="B3" s="13" t="s">
        <v>56</v>
      </c>
      <c r="C3" s="13" t="s">
        <v>57</v>
      </c>
      <c r="G3" s="13" t="s">
        <v>56</v>
      </c>
      <c r="H3" s="13" t="s">
        <v>57</v>
      </c>
      <c r="J3" s="16"/>
      <c r="K3" s="16"/>
    </row>
    <row r="4" spans="1:12" x14ac:dyDescent="0.3">
      <c r="F4" t="s">
        <v>46</v>
      </c>
      <c r="G4" s="8">
        <v>13574.38</v>
      </c>
      <c r="H4" s="9">
        <v>16481.580000000002</v>
      </c>
    </row>
    <row r="5" spans="1:12" x14ac:dyDescent="0.3">
      <c r="A5" s="1" t="s">
        <v>58</v>
      </c>
      <c r="B5" s="96">
        <f>H4</f>
        <v>16481.580000000002</v>
      </c>
      <c r="C5" s="96"/>
      <c r="D5" s="14"/>
      <c r="F5" t="s">
        <v>55</v>
      </c>
      <c r="G5" s="8">
        <v>2835</v>
      </c>
      <c r="H5" s="8">
        <f>+H29*7</f>
        <v>3217.6200000000003</v>
      </c>
    </row>
    <row r="6" spans="1:12" ht="15.6" x14ac:dyDescent="0.3">
      <c r="A6" s="1" t="s">
        <v>65</v>
      </c>
      <c r="B6" s="4"/>
      <c r="C6" s="26">
        <v>7</v>
      </c>
      <c r="F6" s="10" t="s">
        <v>47</v>
      </c>
      <c r="G6" s="11">
        <f>SUM(G4:G5)</f>
        <v>16409.379999999997</v>
      </c>
      <c r="H6" s="11">
        <f>SUM(H4:H5)</f>
        <v>19699.2</v>
      </c>
    </row>
    <row r="7" spans="1:12" x14ac:dyDescent="0.3">
      <c r="A7" s="1" t="s">
        <v>59</v>
      </c>
      <c r="B7" s="15">
        <f>+$G$29*B6</f>
        <v>0</v>
      </c>
      <c r="C7" s="15">
        <f>H5</f>
        <v>3217.6200000000003</v>
      </c>
    </row>
    <row r="8" spans="1:12" x14ac:dyDescent="0.3">
      <c r="F8" t="s">
        <v>48</v>
      </c>
      <c r="G8" s="9">
        <v>2900</v>
      </c>
      <c r="H8" s="9">
        <v>2610</v>
      </c>
    </row>
    <row r="9" spans="1:12" x14ac:dyDescent="0.3">
      <c r="A9" s="1" t="s">
        <v>63</v>
      </c>
      <c r="B9" s="4">
        <v>0</v>
      </c>
      <c r="C9" s="4">
        <v>1</v>
      </c>
      <c r="D9" s="24">
        <f>+C6+C9</f>
        <v>8</v>
      </c>
      <c r="F9" t="s">
        <v>54</v>
      </c>
      <c r="G9" s="12">
        <v>405</v>
      </c>
      <c r="H9" s="12">
        <f>+H29</f>
        <v>459.66</v>
      </c>
    </row>
    <row r="10" spans="1:12" ht="15.6" x14ac:dyDescent="0.3">
      <c r="A10" s="1" t="s">
        <v>62</v>
      </c>
      <c r="B10" s="15">
        <f>+$G$30*B9</f>
        <v>0</v>
      </c>
      <c r="C10" s="15">
        <f>+$H$30*C9</f>
        <v>2610</v>
      </c>
      <c r="F10" s="10" t="s">
        <v>49</v>
      </c>
      <c r="G10" s="11">
        <f>+$G$6+G8+G9</f>
        <v>19714.379999999997</v>
      </c>
      <c r="H10" s="11">
        <f>+$H$6+H8+H9</f>
        <v>22768.86</v>
      </c>
    </row>
    <row r="11" spans="1:12" x14ac:dyDescent="0.3">
      <c r="A11" s="1" t="s">
        <v>67</v>
      </c>
      <c r="B11" s="15">
        <f>+$G$29*B9</f>
        <v>0</v>
      </c>
      <c r="C11" s="15">
        <f>+$H$29*C9</f>
        <v>459.66</v>
      </c>
    </row>
    <row r="12" spans="1:12" x14ac:dyDescent="0.3">
      <c r="F12" t="s">
        <v>50</v>
      </c>
      <c r="G12" s="9">
        <v>5800</v>
      </c>
      <c r="H12" s="9">
        <v>5220</v>
      </c>
      <c r="L12" s="23"/>
    </row>
    <row r="13" spans="1:12" x14ac:dyDescent="0.3">
      <c r="D13" s="18"/>
      <c r="F13" t="s">
        <v>54</v>
      </c>
      <c r="G13" s="12">
        <v>810</v>
      </c>
      <c r="H13" s="12">
        <f>+H29*2</f>
        <v>919.32</v>
      </c>
    </row>
    <row r="14" spans="1:12" ht="15.6" x14ac:dyDescent="0.3">
      <c r="F14" s="10" t="s">
        <v>49</v>
      </c>
      <c r="G14" s="11">
        <f>+$G$6+G12+G13</f>
        <v>23019.379999999997</v>
      </c>
      <c r="H14" s="11">
        <f>+$H$6+H12+H13</f>
        <v>25838.52</v>
      </c>
    </row>
    <row r="15" spans="1:12" x14ac:dyDescent="0.3">
      <c r="A15" s="1" t="s">
        <v>68</v>
      </c>
      <c r="B15" s="15">
        <f>+B10+C10</f>
        <v>2610</v>
      </c>
      <c r="C15" s="20"/>
      <c r="D15" s="14"/>
    </row>
    <row r="16" spans="1:12" x14ac:dyDescent="0.3">
      <c r="A16" s="80" t="s">
        <v>66</v>
      </c>
      <c r="B16" s="81">
        <f>C11+B11+B7+C7</f>
        <v>3677.28</v>
      </c>
      <c r="C16" s="21"/>
      <c r="D16" s="17"/>
      <c r="F16" t="s">
        <v>51</v>
      </c>
      <c r="G16" s="9">
        <v>8700</v>
      </c>
      <c r="H16" s="9">
        <v>7830</v>
      </c>
    </row>
    <row r="17" spans="1:14" x14ac:dyDescent="0.3">
      <c r="F17" t="s">
        <v>54</v>
      </c>
      <c r="G17" s="12">
        <v>1215</v>
      </c>
      <c r="H17" s="12">
        <f>+H29*3</f>
        <v>1378.98</v>
      </c>
    </row>
    <row r="18" spans="1:14" ht="15.6" x14ac:dyDescent="0.3">
      <c r="A18" s="1" t="s">
        <v>69</v>
      </c>
      <c r="B18" s="1">
        <v>3000</v>
      </c>
      <c r="F18" s="10" t="s">
        <v>49</v>
      </c>
      <c r="G18" s="11">
        <f>+$G$6+G16+G17</f>
        <v>26324.379999999997</v>
      </c>
      <c r="H18" s="11">
        <f>+$H$6+H16+H17</f>
        <v>28908.18</v>
      </c>
      <c r="L18" s="23"/>
    </row>
    <row r="19" spans="1:14" ht="15" thickBot="1" x14ac:dyDescent="0.35">
      <c r="A19" s="1"/>
      <c r="B19" s="1"/>
      <c r="C19" s="18"/>
    </row>
    <row r="20" spans="1:14" ht="15" thickBot="1" x14ac:dyDescent="0.35">
      <c r="A20" s="146" t="s">
        <v>163</v>
      </c>
      <c r="B20" s="147">
        <f>SUM(B21:B24)</f>
        <v>0</v>
      </c>
      <c r="C20" s="17" t="s">
        <v>165</v>
      </c>
      <c r="F20" t="s">
        <v>52</v>
      </c>
      <c r="G20" s="9">
        <v>11600</v>
      </c>
      <c r="H20" s="9">
        <v>10440</v>
      </c>
      <c r="N20" s="23"/>
    </row>
    <row r="21" spans="1:14" x14ac:dyDescent="0.3">
      <c r="A21" s="144"/>
      <c r="B21" s="145"/>
      <c r="F21" t="s">
        <v>54</v>
      </c>
      <c r="G21" s="12">
        <v>1620</v>
      </c>
      <c r="H21" s="12">
        <f>+H29*4</f>
        <v>1838.64</v>
      </c>
      <c r="L21" s="23"/>
      <c r="N21" s="14"/>
    </row>
    <row r="22" spans="1:14" ht="15.6" x14ac:dyDescent="0.3">
      <c r="A22" s="140"/>
      <c r="B22" s="141"/>
      <c r="F22" s="10" t="s">
        <v>49</v>
      </c>
      <c r="G22" s="11">
        <f>+$G$6+G20+G21</f>
        <v>29629.379999999997</v>
      </c>
      <c r="H22" s="11">
        <f>+$H$6+H20+H21</f>
        <v>31977.84</v>
      </c>
    </row>
    <row r="23" spans="1:14" x14ac:dyDescent="0.3">
      <c r="A23" s="140"/>
      <c r="B23" s="141"/>
      <c r="C23" s="14"/>
    </row>
    <row r="24" spans="1:14" ht="15" thickBot="1" x14ac:dyDescent="0.35">
      <c r="A24" s="142"/>
      <c r="B24" s="143"/>
      <c r="C24" s="88"/>
      <c r="D24" s="88"/>
      <c r="E24" s="88"/>
      <c r="F24" t="s">
        <v>53</v>
      </c>
      <c r="G24" s="9">
        <v>14500</v>
      </c>
      <c r="H24" s="9">
        <v>13050</v>
      </c>
    </row>
    <row r="25" spans="1:14" ht="15" thickBot="1" x14ac:dyDescent="0.35">
      <c r="C25" s="90"/>
      <c r="D25" s="99"/>
      <c r="E25" s="90"/>
      <c r="F25" t="s">
        <v>54</v>
      </c>
      <c r="G25" s="12">
        <v>2025</v>
      </c>
      <c r="H25" s="12">
        <f>+H29*5</f>
        <v>2298.3000000000002</v>
      </c>
    </row>
    <row r="26" spans="1:14" ht="16.2" thickBot="1" x14ac:dyDescent="0.35">
      <c r="A26" s="146" t="s">
        <v>164</v>
      </c>
      <c r="B26" s="148">
        <f>SUM(B27:B30)</f>
        <v>0</v>
      </c>
      <c r="C26" s="17" t="s">
        <v>165</v>
      </c>
      <c r="D26" s="90"/>
      <c r="E26" s="90"/>
      <c r="F26" s="10" t="s">
        <v>49</v>
      </c>
      <c r="G26" s="11">
        <f>+$G$6+G24+G25</f>
        <v>32934.379999999997</v>
      </c>
      <c r="H26" s="11">
        <f>+$H$6+H24+H25</f>
        <v>35047.5</v>
      </c>
      <c r="N26" s="23"/>
    </row>
    <row r="27" spans="1:14" x14ac:dyDescent="0.3">
      <c r="A27" s="144"/>
      <c r="B27" s="145"/>
      <c r="N27" s="23"/>
    </row>
    <row r="28" spans="1:14" x14ac:dyDescent="0.3">
      <c r="A28" s="140"/>
      <c r="B28" s="141"/>
    </row>
    <row r="29" spans="1:14" x14ac:dyDescent="0.3">
      <c r="A29" s="140"/>
      <c r="B29" s="141"/>
      <c r="F29" t="s">
        <v>61</v>
      </c>
      <c r="G29" s="14">
        <v>405</v>
      </c>
      <c r="H29" s="14">
        <v>459.66</v>
      </c>
      <c r="I29" s="14"/>
    </row>
    <row r="30" spans="1:14" ht="15" thickBot="1" x14ac:dyDescent="0.35">
      <c r="A30" s="142"/>
      <c r="B30" s="143"/>
      <c r="F30" t="s">
        <v>64</v>
      </c>
      <c r="G30" s="14">
        <v>2900</v>
      </c>
      <c r="H30" s="14">
        <v>2610</v>
      </c>
    </row>
    <row r="31" spans="1:14" x14ac:dyDescent="0.3">
      <c r="A31" s="88"/>
      <c r="B31" s="90"/>
    </row>
    <row r="33" spans="1:5" x14ac:dyDescent="0.3">
      <c r="A33" s="88"/>
      <c r="B33" s="88"/>
      <c r="C33" s="88"/>
      <c r="D33" s="88"/>
      <c r="E33" s="88"/>
    </row>
    <row r="34" spans="1:5" x14ac:dyDescent="0.3">
      <c r="A34" s="90"/>
      <c r="B34" s="90"/>
      <c r="C34" s="90"/>
      <c r="D34" s="90"/>
      <c r="E34" s="99"/>
    </row>
    <row r="38" spans="1:5" x14ac:dyDescent="0.3">
      <c r="A38" s="88"/>
      <c r="B38" s="88"/>
    </row>
    <row r="39" spans="1:5" x14ac:dyDescent="0.3">
      <c r="A39" s="98"/>
      <c r="B39" s="98"/>
    </row>
  </sheetData>
  <pageMargins left="0.7" right="0.7" top="0.75" bottom="0.75" header="0.3" footer="0.3"/>
  <pageSetup paperSize="9" orientation="portrait" horizontalDpi="4294967293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79973-944E-463C-A955-BC415EFCE829}">
  <sheetPr>
    <tabColor rgb="FFFFFF00"/>
  </sheetPr>
  <dimension ref="A1:R31"/>
  <sheetViews>
    <sheetView zoomScale="90" zoomScaleNormal="90" workbookViewId="0">
      <selection activeCell="L15" sqref="L15"/>
    </sheetView>
  </sheetViews>
  <sheetFormatPr defaultColWidth="9.109375" defaultRowHeight="14.4" x14ac:dyDescent="0.3"/>
  <cols>
    <col min="1" max="1" width="56.5546875" customWidth="1"/>
    <col min="2" max="2" width="14.5546875" customWidth="1"/>
    <col min="3" max="3" width="12.109375" customWidth="1"/>
    <col min="4" max="4" width="10.109375" bestFit="1" customWidth="1"/>
    <col min="6" max="6" width="21.5546875" bestFit="1" customWidth="1"/>
    <col min="7" max="7" width="15" hidden="1" customWidth="1"/>
    <col min="8" max="8" width="14.44140625" bestFit="1" customWidth="1"/>
    <col min="10" max="10" width="12.5546875" customWidth="1"/>
    <col min="11" max="11" width="10.44140625" customWidth="1"/>
    <col min="12" max="12" width="11.88671875" customWidth="1"/>
    <col min="13" max="13" width="18.44140625" customWidth="1"/>
  </cols>
  <sheetData>
    <row r="1" spans="1:15" ht="15" thickBot="1" x14ac:dyDescent="0.35">
      <c r="A1" s="303" t="s">
        <v>145</v>
      </c>
      <c r="B1" s="304"/>
      <c r="C1" s="304"/>
      <c r="F1" s="305" t="s">
        <v>60</v>
      </c>
      <c r="G1" s="306"/>
      <c r="H1" s="307"/>
    </row>
    <row r="3" spans="1:15" ht="15.6" x14ac:dyDescent="0.3">
      <c r="B3" s="13" t="s">
        <v>56</v>
      </c>
      <c r="C3" s="13" t="s">
        <v>57</v>
      </c>
      <c r="G3" s="13" t="s">
        <v>56</v>
      </c>
      <c r="H3" s="13" t="s">
        <v>57</v>
      </c>
      <c r="J3" s="16"/>
      <c r="K3" s="16"/>
    </row>
    <row r="4" spans="1:15" x14ac:dyDescent="0.3">
      <c r="F4" t="s">
        <v>46</v>
      </c>
      <c r="G4" s="8">
        <v>13574.38</v>
      </c>
      <c r="H4" s="9">
        <v>16481.580000000002</v>
      </c>
    </row>
    <row r="5" spans="1:15" x14ac:dyDescent="0.3">
      <c r="A5" s="1" t="s">
        <v>58</v>
      </c>
      <c r="B5" s="308">
        <f>+H4</f>
        <v>16481.580000000002</v>
      </c>
      <c r="C5" s="308"/>
      <c r="F5" t="s">
        <v>55</v>
      </c>
      <c r="G5" s="8">
        <v>2835</v>
      </c>
      <c r="H5" s="8">
        <f>+H29*7</f>
        <v>3217.6200000000003</v>
      </c>
      <c r="J5" s="205"/>
      <c r="K5" s="180">
        <v>1</v>
      </c>
      <c r="L5" s="103" t="s">
        <v>374</v>
      </c>
      <c r="M5" s="229"/>
    </row>
    <row r="6" spans="1:15" ht="15.6" x14ac:dyDescent="0.3">
      <c r="A6" s="1" t="s">
        <v>65</v>
      </c>
      <c r="B6" s="4">
        <v>0</v>
      </c>
      <c r="C6" s="26">
        <v>7</v>
      </c>
      <c r="F6" s="10" t="s">
        <v>47</v>
      </c>
      <c r="G6" s="11">
        <f>SUM(G4:G5)</f>
        <v>16409.379999999997</v>
      </c>
      <c r="H6" s="11">
        <f>SUM(H4:H5)</f>
        <v>19699.2</v>
      </c>
      <c r="J6" s="188"/>
      <c r="K6" s="180">
        <v>2</v>
      </c>
      <c r="L6" s="229" t="s">
        <v>375</v>
      </c>
      <c r="M6" s="229"/>
    </row>
    <row r="7" spans="1:15" x14ac:dyDescent="0.3">
      <c r="A7" s="1" t="s">
        <v>59</v>
      </c>
      <c r="B7" s="15">
        <f>+$G$29*B6</f>
        <v>0</v>
      </c>
      <c r="C7" s="15">
        <f>+H5</f>
        <v>3217.6200000000003</v>
      </c>
      <c r="J7" s="188"/>
      <c r="K7" s="180">
        <v>3</v>
      </c>
      <c r="L7" s="229" t="s">
        <v>376</v>
      </c>
      <c r="M7" s="229"/>
    </row>
    <row r="8" spans="1:15" x14ac:dyDescent="0.3">
      <c r="F8" t="s">
        <v>48</v>
      </c>
      <c r="G8" s="9">
        <v>2900</v>
      </c>
      <c r="H8" s="9">
        <v>2610</v>
      </c>
      <c r="J8" s="180"/>
      <c r="K8" s="180">
        <v>4</v>
      </c>
      <c r="L8" s="229" t="s">
        <v>377</v>
      </c>
      <c r="M8" s="229"/>
      <c r="O8" s="70"/>
    </row>
    <row r="9" spans="1:15" x14ac:dyDescent="0.3">
      <c r="A9" s="1" t="s">
        <v>63</v>
      </c>
      <c r="B9" s="4">
        <v>0</v>
      </c>
      <c r="C9" s="4"/>
      <c r="D9" s="24">
        <f>C6+C9</f>
        <v>7</v>
      </c>
      <c r="F9" t="s">
        <v>54</v>
      </c>
      <c r="G9" s="12">
        <v>405</v>
      </c>
      <c r="H9" s="12">
        <f>+H29</f>
        <v>459.66</v>
      </c>
      <c r="J9" s="180"/>
      <c r="K9" s="180">
        <v>5</v>
      </c>
      <c r="L9" s="103" t="s">
        <v>378</v>
      </c>
      <c r="M9" s="229"/>
      <c r="O9" s="70" t="s">
        <v>169</v>
      </c>
    </row>
    <row r="10" spans="1:15" ht="15.6" x14ac:dyDescent="0.3">
      <c r="A10" s="1" t="s">
        <v>62</v>
      </c>
      <c r="B10" s="15">
        <f>+$G$30*B9</f>
        <v>0</v>
      </c>
      <c r="C10" s="15">
        <f>+$H$30*C9</f>
        <v>0</v>
      </c>
      <c r="F10" s="10" t="s">
        <v>49</v>
      </c>
      <c r="G10" s="11">
        <f>+$G$6+G8+G9</f>
        <v>19714.379999999997</v>
      </c>
      <c r="H10" s="11">
        <f>+$H$6+H8+H9</f>
        <v>22768.86</v>
      </c>
      <c r="J10" s="180"/>
      <c r="K10" s="180">
        <v>6</v>
      </c>
      <c r="L10" s="103" t="s">
        <v>379</v>
      </c>
      <c r="M10" s="229"/>
      <c r="O10" s="70" t="s">
        <v>170</v>
      </c>
    </row>
    <row r="11" spans="1:15" x14ac:dyDescent="0.3">
      <c r="A11" s="1" t="s">
        <v>67</v>
      </c>
      <c r="B11" s="15">
        <f>+$G$29*B9</f>
        <v>0</v>
      </c>
      <c r="C11" s="15">
        <f>+$H$29*C9</f>
        <v>0</v>
      </c>
      <c r="D11" t="s">
        <v>178</v>
      </c>
      <c r="J11" s="184"/>
      <c r="K11" s="180">
        <v>7</v>
      </c>
      <c r="L11" s="103" t="s">
        <v>380</v>
      </c>
      <c r="M11" s="229"/>
    </row>
    <row r="12" spans="1:15" x14ac:dyDescent="0.3">
      <c r="F12" t="s">
        <v>50</v>
      </c>
      <c r="G12" s="9">
        <v>5800</v>
      </c>
      <c r="H12" s="9">
        <v>5220</v>
      </c>
      <c r="J12" s="224"/>
      <c r="K12" s="180"/>
      <c r="L12" s="229"/>
      <c r="M12" s="229"/>
    </row>
    <row r="13" spans="1:15" x14ac:dyDescent="0.3">
      <c r="D13" s="18"/>
      <c r="F13" t="s">
        <v>54</v>
      </c>
      <c r="G13" s="12">
        <v>810</v>
      </c>
      <c r="H13" s="12">
        <f>+H29*2</f>
        <v>919.32</v>
      </c>
      <c r="J13" s="186"/>
      <c r="K13" s="180"/>
      <c r="L13" s="229"/>
      <c r="M13" s="229"/>
    </row>
    <row r="14" spans="1:15" ht="15.6" x14ac:dyDescent="0.3">
      <c r="F14" s="10" t="s">
        <v>49</v>
      </c>
      <c r="G14" s="11">
        <f>+$G$6+G12+G13</f>
        <v>23019.379999999997</v>
      </c>
      <c r="H14" s="11">
        <f>+$H$6+H12+H13</f>
        <v>25838.52</v>
      </c>
      <c r="J14" s="186"/>
      <c r="K14" s="180"/>
      <c r="L14" s="292" t="s">
        <v>659</v>
      </c>
      <c r="M14" s="229"/>
    </row>
    <row r="15" spans="1:15" x14ac:dyDescent="0.3">
      <c r="A15" s="1" t="s">
        <v>68</v>
      </c>
      <c r="B15" s="15">
        <f>+B10+C10</f>
        <v>0</v>
      </c>
      <c r="C15" s="14"/>
      <c r="J15" s="186"/>
      <c r="K15" s="225"/>
      <c r="L15" s="225"/>
    </row>
    <row r="16" spans="1:15" x14ac:dyDescent="0.3">
      <c r="A16" s="80" t="s">
        <v>66</v>
      </c>
      <c r="B16" s="81">
        <f>+B7+C7+B11+C11</f>
        <v>3217.6200000000003</v>
      </c>
      <c r="C16" s="21"/>
      <c r="D16" s="17"/>
      <c r="F16" t="s">
        <v>51</v>
      </c>
      <c r="G16" s="9">
        <v>8700</v>
      </c>
      <c r="H16" s="9">
        <v>7830</v>
      </c>
      <c r="J16" s="186"/>
      <c r="K16" s="225"/>
      <c r="L16" s="225" t="s">
        <v>212</v>
      </c>
    </row>
    <row r="17" spans="1:18" x14ac:dyDescent="0.3">
      <c r="F17" t="s">
        <v>54</v>
      </c>
      <c r="G17" s="12">
        <v>1215</v>
      </c>
      <c r="H17" s="12">
        <f>+H29*3</f>
        <v>1378.98</v>
      </c>
      <c r="J17" s="186"/>
      <c r="K17" s="225"/>
      <c r="L17" s="252" t="s">
        <v>221</v>
      </c>
      <c r="M17" s="253">
        <v>500</v>
      </c>
    </row>
    <row r="18" spans="1:18" ht="15.6" x14ac:dyDescent="0.3">
      <c r="A18" s="1" t="s">
        <v>69</v>
      </c>
      <c r="B18" s="248">
        <v>4200</v>
      </c>
      <c r="C18" t="s">
        <v>178</v>
      </c>
      <c r="F18" s="10" t="s">
        <v>49</v>
      </c>
      <c r="G18" s="11">
        <f>+$G$6+G16+G17</f>
        <v>26324.379999999997</v>
      </c>
      <c r="H18" s="11">
        <f>+$H$6+H16+H17</f>
        <v>28908.18</v>
      </c>
      <c r="J18" s="186"/>
      <c r="K18" s="114"/>
      <c r="L18" s="254" t="s">
        <v>222</v>
      </c>
      <c r="M18" s="253">
        <v>900</v>
      </c>
    </row>
    <row r="19" spans="1:18" ht="15" thickBot="1" x14ac:dyDescent="0.35">
      <c r="J19" s="186"/>
      <c r="K19" s="114"/>
      <c r="L19" s="254" t="s">
        <v>223</v>
      </c>
      <c r="M19" s="253">
        <v>1400</v>
      </c>
    </row>
    <row r="20" spans="1:18" ht="15" thickBot="1" x14ac:dyDescent="0.35">
      <c r="A20" s="146" t="s">
        <v>163</v>
      </c>
      <c r="B20" s="147"/>
      <c r="C20" s="17" t="s">
        <v>165</v>
      </c>
      <c r="F20" t="s">
        <v>52</v>
      </c>
      <c r="G20" s="9">
        <v>11600</v>
      </c>
      <c r="H20" s="9">
        <v>10440</v>
      </c>
      <c r="J20" s="186"/>
      <c r="K20" s="114"/>
      <c r="L20" s="254" t="s">
        <v>224</v>
      </c>
      <c r="M20" s="255">
        <v>1400</v>
      </c>
    </row>
    <row r="21" spans="1:18" x14ac:dyDescent="0.3">
      <c r="A21" s="144"/>
      <c r="B21" s="145"/>
      <c r="F21" t="s">
        <v>54</v>
      </c>
      <c r="G21" s="12">
        <v>1620</v>
      </c>
      <c r="H21" s="12">
        <f>+H29*4</f>
        <v>1838.64</v>
      </c>
      <c r="J21" s="186"/>
      <c r="K21" s="74"/>
      <c r="L21" s="254"/>
      <c r="M21" s="254"/>
    </row>
    <row r="22" spans="1:18" ht="15.6" x14ac:dyDescent="0.3">
      <c r="A22" s="140"/>
      <c r="B22" s="141"/>
      <c r="F22" s="10" t="s">
        <v>49</v>
      </c>
      <c r="G22" s="11">
        <f>+$G$6+G20+G21</f>
        <v>29629.379999999997</v>
      </c>
      <c r="H22" s="11">
        <f>+$H$6+H20+H21</f>
        <v>31977.84</v>
      </c>
      <c r="J22" s="186"/>
      <c r="K22" s="74"/>
      <c r="L22" s="256"/>
      <c r="M22" s="256">
        <f>SUM(M17:M21)</f>
        <v>4200</v>
      </c>
    </row>
    <row r="23" spans="1:18" x14ac:dyDescent="0.3">
      <c r="A23" s="140"/>
      <c r="B23" s="141"/>
      <c r="C23" s="14"/>
      <c r="J23" s="186"/>
      <c r="K23" s="83"/>
      <c r="L23" s="74"/>
    </row>
    <row r="24" spans="1:18" ht="15" thickBot="1" x14ac:dyDescent="0.35">
      <c r="A24" s="142"/>
      <c r="B24" s="143"/>
      <c r="C24" s="88"/>
      <c r="F24" t="s">
        <v>53</v>
      </c>
      <c r="G24" s="9">
        <v>14500</v>
      </c>
      <c r="H24" s="9">
        <v>13050</v>
      </c>
      <c r="J24" s="186"/>
      <c r="K24" s="162"/>
      <c r="L24" s="263" t="s">
        <v>265</v>
      </c>
    </row>
    <row r="25" spans="1:18" ht="15" thickBot="1" x14ac:dyDescent="0.35">
      <c r="C25" s="90"/>
      <c r="F25" t="s">
        <v>54</v>
      </c>
      <c r="G25" s="12">
        <v>2025</v>
      </c>
      <c r="H25" s="12">
        <f>+H29*5</f>
        <v>2298.3000000000002</v>
      </c>
      <c r="J25" s="186"/>
      <c r="K25" s="261" t="s">
        <v>259</v>
      </c>
      <c r="L25" s="261">
        <v>38</v>
      </c>
      <c r="M25" s="261" t="s">
        <v>257</v>
      </c>
      <c r="N25" s="261">
        <v>38.700000000000003</v>
      </c>
      <c r="O25" s="262" t="s">
        <v>242</v>
      </c>
      <c r="P25" s="261" t="s">
        <v>260</v>
      </c>
      <c r="Q25" s="261" t="s">
        <v>261</v>
      </c>
      <c r="R25" s="282">
        <v>200</v>
      </c>
    </row>
    <row r="26" spans="1:18" ht="16.2" thickBot="1" x14ac:dyDescent="0.35">
      <c r="A26" s="146" t="s">
        <v>164</v>
      </c>
      <c r="B26" s="147">
        <f>SUM(B27:B30)</f>
        <v>400</v>
      </c>
      <c r="C26" s="17" t="s">
        <v>165</v>
      </c>
      <c r="F26" s="10" t="s">
        <v>49</v>
      </c>
      <c r="G26" s="11">
        <f>+$G$6+G24+G25</f>
        <v>32934.379999999997</v>
      </c>
      <c r="H26" s="11">
        <f>+$H$6+H24+H25</f>
        <v>35047.5</v>
      </c>
      <c r="J26" s="186"/>
      <c r="K26" s="261" t="s">
        <v>262</v>
      </c>
      <c r="L26" s="261"/>
      <c r="M26" s="261"/>
      <c r="N26" s="261"/>
      <c r="O26" s="261" t="s">
        <v>242</v>
      </c>
      <c r="P26" s="261" t="s">
        <v>263</v>
      </c>
      <c r="Q26" s="247" t="s">
        <v>264</v>
      </c>
      <c r="R26" s="282">
        <v>200</v>
      </c>
    </row>
    <row r="27" spans="1:18" x14ac:dyDescent="0.3">
      <c r="A27" s="144" t="s">
        <v>255</v>
      </c>
      <c r="B27" s="283">
        <v>200</v>
      </c>
      <c r="R27" s="260">
        <f>SUM(R25:R26)</f>
        <v>400</v>
      </c>
    </row>
    <row r="28" spans="1:18" x14ac:dyDescent="0.3">
      <c r="A28" s="140" t="s">
        <v>256</v>
      </c>
      <c r="B28" s="284">
        <v>200</v>
      </c>
      <c r="C28" t="s">
        <v>178</v>
      </c>
    </row>
    <row r="29" spans="1:18" x14ac:dyDescent="0.3">
      <c r="A29" s="140"/>
      <c r="B29" s="141"/>
      <c r="F29" t="s">
        <v>61</v>
      </c>
      <c r="G29" s="14">
        <v>405</v>
      </c>
      <c r="H29" s="14">
        <v>459.66</v>
      </c>
    </row>
    <row r="30" spans="1:18" ht="15" thickBot="1" x14ac:dyDescent="0.35">
      <c r="A30" s="142"/>
      <c r="B30" s="143"/>
      <c r="F30" t="s">
        <v>64</v>
      </c>
      <c r="G30" s="14">
        <v>2900</v>
      </c>
      <c r="H30" s="14">
        <v>2610</v>
      </c>
    </row>
    <row r="31" spans="1:18" x14ac:dyDescent="0.3">
      <c r="A31" s="43"/>
    </row>
  </sheetData>
  <mergeCells count="3">
    <mergeCell ref="A1:C1"/>
    <mergeCell ref="F1:H1"/>
    <mergeCell ref="B5:C5"/>
  </mergeCells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30783-3DC1-4C50-89C3-40468EBD430E}">
  <sheetPr>
    <tabColor rgb="FFFFFF00"/>
  </sheetPr>
  <dimension ref="A1:O31"/>
  <sheetViews>
    <sheetView zoomScale="90" zoomScaleNormal="90" workbookViewId="0">
      <selection activeCell="B20" sqref="B20"/>
    </sheetView>
  </sheetViews>
  <sheetFormatPr defaultColWidth="9.109375" defaultRowHeight="14.4" x14ac:dyDescent="0.3"/>
  <cols>
    <col min="1" max="1" width="56.5546875" customWidth="1"/>
    <col min="2" max="2" width="20" customWidth="1"/>
    <col min="3" max="3" width="17.5546875" customWidth="1"/>
    <col min="4" max="4" width="10.109375" bestFit="1" customWidth="1"/>
    <col min="6" max="6" width="21.5546875" bestFit="1" customWidth="1"/>
    <col min="7" max="7" width="15" hidden="1" customWidth="1"/>
    <col min="8" max="8" width="14.44140625" bestFit="1" customWidth="1"/>
    <col min="10" max="10" width="20.109375" customWidth="1"/>
    <col min="11" max="11" width="10.44140625" customWidth="1"/>
  </cols>
  <sheetData>
    <row r="1" spans="1:15" ht="15" thickBot="1" x14ac:dyDescent="0.35">
      <c r="A1" s="303" t="s">
        <v>128</v>
      </c>
      <c r="B1" s="304"/>
      <c r="C1" s="304"/>
      <c r="F1" s="305" t="s">
        <v>60</v>
      </c>
      <c r="G1" s="306"/>
      <c r="H1" s="307"/>
    </row>
    <row r="3" spans="1:15" ht="15.6" x14ac:dyDescent="0.3">
      <c r="B3" s="13" t="s">
        <v>56</v>
      </c>
      <c r="C3" s="13" t="s">
        <v>57</v>
      </c>
      <c r="G3" s="13" t="s">
        <v>56</v>
      </c>
      <c r="H3" s="13" t="s">
        <v>57</v>
      </c>
      <c r="I3">
        <v>1</v>
      </c>
      <c r="J3" s="228" t="s">
        <v>382</v>
      </c>
      <c r="K3" s="16"/>
    </row>
    <row r="4" spans="1:15" x14ac:dyDescent="0.3">
      <c r="F4" t="s">
        <v>46</v>
      </c>
      <c r="G4" s="8">
        <v>13574.38</v>
      </c>
      <c r="H4" s="9">
        <v>16481.580000000002</v>
      </c>
      <c r="I4">
        <v>2</v>
      </c>
      <c r="J4" s="228" t="s">
        <v>383</v>
      </c>
    </row>
    <row r="5" spans="1:15" x14ac:dyDescent="0.3">
      <c r="A5" s="1" t="s">
        <v>58</v>
      </c>
      <c r="B5" s="308">
        <f>+H4</f>
        <v>16481.580000000002</v>
      </c>
      <c r="C5" s="308"/>
      <c r="F5" t="s">
        <v>55</v>
      </c>
      <c r="G5" s="8">
        <v>2835</v>
      </c>
      <c r="H5" s="8">
        <f>+H29*7</f>
        <v>3217.6200000000003</v>
      </c>
      <c r="I5">
        <v>3</v>
      </c>
      <c r="J5" s="228" t="s">
        <v>384</v>
      </c>
    </row>
    <row r="6" spans="1:15" ht="15.6" x14ac:dyDescent="0.3">
      <c r="A6" s="1" t="s">
        <v>65</v>
      </c>
      <c r="B6" s="4">
        <v>0</v>
      </c>
      <c r="C6" s="26">
        <v>7</v>
      </c>
      <c r="F6" s="10" t="s">
        <v>47</v>
      </c>
      <c r="G6" s="11">
        <f>SUM(G4:G5)</f>
        <v>16409.379999999997</v>
      </c>
      <c r="H6" s="11">
        <f>SUM(H4:H5)</f>
        <v>19699.2</v>
      </c>
      <c r="I6">
        <v>4</v>
      </c>
      <c r="J6" s="228" t="s">
        <v>385</v>
      </c>
    </row>
    <row r="7" spans="1:15" x14ac:dyDescent="0.3">
      <c r="A7" s="1" t="s">
        <v>59</v>
      </c>
      <c r="B7" s="15">
        <f>+$G$29*B6</f>
        <v>0</v>
      </c>
      <c r="C7" s="15">
        <f>+H5</f>
        <v>3217.6200000000003</v>
      </c>
      <c r="I7">
        <v>5</v>
      </c>
      <c r="J7" s="228" t="s">
        <v>386</v>
      </c>
      <c r="L7" s="205"/>
    </row>
    <row r="8" spans="1:15" x14ac:dyDescent="0.3">
      <c r="F8" t="s">
        <v>48</v>
      </c>
      <c r="G8" s="9">
        <v>2900</v>
      </c>
      <c r="H8" s="9">
        <v>2610</v>
      </c>
      <c r="I8">
        <v>6</v>
      </c>
      <c r="J8" s="228" t="s">
        <v>387</v>
      </c>
      <c r="L8" s="205"/>
    </row>
    <row r="9" spans="1:15" x14ac:dyDescent="0.3">
      <c r="A9" s="1" t="s">
        <v>63</v>
      </c>
      <c r="B9" s="4">
        <v>0</v>
      </c>
      <c r="C9" s="4">
        <v>4</v>
      </c>
      <c r="D9" s="24">
        <f>C6+C9</f>
        <v>11</v>
      </c>
      <c r="F9" t="s">
        <v>54</v>
      </c>
      <c r="G9" s="12">
        <v>405</v>
      </c>
      <c r="H9" s="12">
        <f>+H29</f>
        <v>459.66</v>
      </c>
      <c r="I9">
        <v>7</v>
      </c>
      <c r="J9" s="228" t="s">
        <v>388</v>
      </c>
    </row>
    <row r="10" spans="1:15" ht="15.6" x14ac:dyDescent="0.3">
      <c r="A10" s="1" t="s">
        <v>62</v>
      </c>
      <c r="B10" s="15">
        <f>+$G$30*B9</f>
        <v>0</v>
      </c>
      <c r="C10" s="15">
        <f>+$H$30*C9</f>
        <v>10440</v>
      </c>
      <c r="F10" s="10" t="s">
        <v>49</v>
      </c>
      <c r="G10" s="11">
        <f>+$G$6+G8+G9</f>
        <v>19714.379999999997</v>
      </c>
      <c r="H10" s="11">
        <f>+$H$6+H8+H9</f>
        <v>22768.86</v>
      </c>
      <c r="I10">
        <v>8</v>
      </c>
      <c r="J10" s="228" t="s">
        <v>389</v>
      </c>
    </row>
    <row r="11" spans="1:15" x14ac:dyDescent="0.3">
      <c r="A11" s="1" t="s">
        <v>67</v>
      </c>
      <c r="B11" s="15">
        <f>+$G$29*B9</f>
        <v>0</v>
      </c>
      <c r="C11" s="15">
        <f>+$H$29*C9</f>
        <v>1838.64</v>
      </c>
      <c r="I11">
        <v>9</v>
      </c>
      <c r="J11" s="231" t="s">
        <v>390</v>
      </c>
      <c r="O11" s="70" t="s">
        <v>169</v>
      </c>
    </row>
    <row r="12" spans="1:15" x14ac:dyDescent="0.3">
      <c r="F12" t="s">
        <v>50</v>
      </c>
      <c r="G12" s="9">
        <v>5800</v>
      </c>
      <c r="H12" s="9">
        <v>5220</v>
      </c>
      <c r="I12">
        <v>10</v>
      </c>
      <c r="J12" s="293" t="s">
        <v>391</v>
      </c>
      <c r="K12" s="52" t="s">
        <v>392</v>
      </c>
      <c r="O12" s="70" t="s">
        <v>170</v>
      </c>
    </row>
    <row r="13" spans="1:15" x14ac:dyDescent="0.3">
      <c r="D13" s="18"/>
      <c r="F13" t="s">
        <v>54</v>
      </c>
      <c r="G13" s="12">
        <v>810</v>
      </c>
      <c r="H13" s="12">
        <f>+H29*2</f>
        <v>919.32</v>
      </c>
      <c r="I13">
        <v>11</v>
      </c>
      <c r="J13" s="293" t="s">
        <v>391</v>
      </c>
      <c r="K13" s="294" t="s">
        <v>392</v>
      </c>
      <c r="L13" s="16"/>
    </row>
    <row r="14" spans="1:15" ht="15.6" x14ac:dyDescent="0.3">
      <c r="F14" s="10" t="s">
        <v>49</v>
      </c>
      <c r="G14" s="11">
        <f>+$G$6+G12+G13</f>
        <v>23019.379999999997</v>
      </c>
      <c r="H14" s="11">
        <f>+$H$6+H12+H13</f>
        <v>25838.52</v>
      </c>
      <c r="J14" s="232">
        <f>11*150</f>
        <v>1650</v>
      </c>
      <c r="K14" s="219" t="s">
        <v>342</v>
      </c>
    </row>
    <row r="15" spans="1:15" x14ac:dyDescent="0.3">
      <c r="A15" s="1" t="s">
        <v>68</v>
      </c>
      <c r="B15" s="15">
        <f>+B10+C10</f>
        <v>10440</v>
      </c>
      <c r="C15" s="14"/>
      <c r="J15" s="220"/>
      <c r="K15" s="219"/>
    </row>
    <row r="16" spans="1:15" x14ac:dyDescent="0.3">
      <c r="A16" s="80" t="s">
        <v>66</v>
      </c>
      <c r="B16" s="81">
        <f>+B7+C7+B11+C11</f>
        <v>5056.26</v>
      </c>
      <c r="C16" s="21"/>
      <c r="D16" s="17"/>
      <c r="F16" t="s">
        <v>51</v>
      </c>
      <c r="G16" s="9">
        <v>8700</v>
      </c>
      <c r="H16" s="9">
        <v>7830</v>
      </c>
      <c r="J16" s="221" t="s">
        <v>212</v>
      </c>
    </row>
    <row r="17" spans="1:11" x14ac:dyDescent="0.3">
      <c r="F17" t="s">
        <v>54</v>
      </c>
      <c r="G17" s="12">
        <v>1215</v>
      </c>
      <c r="H17" s="12">
        <f>+H29*3</f>
        <v>1378.98</v>
      </c>
      <c r="J17" s="153" t="s">
        <v>225</v>
      </c>
      <c r="K17" s="226">
        <v>1400</v>
      </c>
    </row>
    <row r="18" spans="1:11" ht="15.6" x14ac:dyDescent="0.3">
      <c r="A18" s="1" t="s">
        <v>69</v>
      </c>
      <c r="B18" s="249">
        <v>5600</v>
      </c>
      <c r="C18" t="s">
        <v>178</v>
      </c>
      <c r="F18" s="10" t="s">
        <v>49</v>
      </c>
      <c r="G18" s="11">
        <f>+$G$6+G16+G17</f>
        <v>26324.379999999997</v>
      </c>
      <c r="H18" s="11">
        <f>+$H$6+H16+H17</f>
        <v>28908.18</v>
      </c>
      <c r="J18" s="102" t="s">
        <v>223</v>
      </c>
      <c r="K18" s="226">
        <v>1400</v>
      </c>
    </row>
    <row r="19" spans="1:11" ht="15" thickBot="1" x14ac:dyDescent="0.35">
      <c r="J19" s="102" t="s">
        <v>224</v>
      </c>
      <c r="K19" s="107">
        <v>1400</v>
      </c>
    </row>
    <row r="20" spans="1:11" ht="15" thickBot="1" x14ac:dyDescent="0.35">
      <c r="A20" s="241" t="s">
        <v>163</v>
      </c>
      <c r="B20" s="148">
        <f>D9*150</f>
        <v>1650</v>
      </c>
      <c r="C20" s="242" t="s">
        <v>165</v>
      </c>
      <c r="D20" s="243"/>
      <c r="F20" t="s">
        <v>52</v>
      </c>
      <c r="G20" s="9">
        <v>11600</v>
      </c>
      <c r="H20" s="9">
        <v>10440</v>
      </c>
      <c r="J20" s="102" t="s">
        <v>226</v>
      </c>
      <c r="K20" s="226">
        <v>1400</v>
      </c>
    </row>
    <row r="21" spans="1:11" x14ac:dyDescent="0.3">
      <c r="A21" s="144"/>
      <c r="B21" s="145"/>
      <c r="C21" t="s">
        <v>178</v>
      </c>
      <c r="F21" t="s">
        <v>54</v>
      </c>
      <c r="G21" s="12">
        <v>1620</v>
      </c>
      <c r="H21" s="12">
        <f>+H29*4</f>
        <v>1838.64</v>
      </c>
      <c r="J21" s="153"/>
      <c r="K21" s="226">
        <f>SUM(K17:K20)</f>
        <v>5600</v>
      </c>
    </row>
    <row r="22" spans="1:11" ht="15.6" x14ac:dyDescent="0.3">
      <c r="A22" s="140"/>
      <c r="B22" s="141"/>
      <c r="F22" s="10" t="s">
        <v>49</v>
      </c>
      <c r="G22" s="11">
        <f>+$G$6+G20+G21</f>
        <v>29629.379999999997</v>
      </c>
      <c r="H22" s="11">
        <f>+$H$6+H20+H21</f>
        <v>31977.84</v>
      </c>
      <c r="J22" s="208"/>
    </row>
    <row r="23" spans="1:11" x14ac:dyDescent="0.3">
      <c r="A23" s="140"/>
      <c r="B23" s="141"/>
      <c r="C23" s="14"/>
      <c r="J23" s="208"/>
    </row>
    <row r="24" spans="1:11" ht="15" thickBot="1" x14ac:dyDescent="0.35">
      <c r="A24" s="142"/>
      <c r="B24" s="143"/>
      <c r="C24" s="88"/>
      <c r="F24" t="s">
        <v>53</v>
      </c>
      <c r="G24" s="9">
        <v>14500</v>
      </c>
      <c r="H24" s="9">
        <v>13050</v>
      </c>
      <c r="J24" s="222"/>
    </row>
    <row r="25" spans="1:11" ht="15" thickBot="1" x14ac:dyDescent="0.35">
      <c r="C25" s="90"/>
      <c r="F25" t="s">
        <v>54</v>
      </c>
      <c r="G25" s="12">
        <v>2025</v>
      </c>
      <c r="H25" s="12">
        <f>+H29*5</f>
        <v>2298.3000000000002</v>
      </c>
      <c r="J25" s="223"/>
    </row>
    <row r="26" spans="1:11" ht="16.2" thickBot="1" x14ac:dyDescent="0.35">
      <c r="A26" s="146" t="s">
        <v>164</v>
      </c>
      <c r="B26" s="147">
        <f>SUM(B27:B30)</f>
        <v>0</v>
      </c>
      <c r="C26" s="17" t="s">
        <v>165</v>
      </c>
      <c r="F26" s="10" t="s">
        <v>49</v>
      </c>
      <c r="G26" s="11">
        <f>+$G$6+G24+G25</f>
        <v>32934.379999999997</v>
      </c>
      <c r="H26" s="11">
        <f>+$H$6+H24+H25</f>
        <v>35047.5</v>
      </c>
    </row>
    <row r="27" spans="1:11" x14ac:dyDescent="0.3">
      <c r="A27" s="144" t="s">
        <v>167</v>
      </c>
      <c r="B27" s="145"/>
    </row>
    <row r="28" spans="1:11" x14ac:dyDescent="0.3">
      <c r="A28" s="140" t="s">
        <v>173</v>
      </c>
      <c r="B28" s="141"/>
    </row>
    <row r="29" spans="1:11" x14ac:dyDescent="0.3">
      <c r="A29" s="140" t="s">
        <v>174</v>
      </c>
      <c r="B29" s="141"/>
      <c r="F29" t="s">
        <v>61</v>
      </c>
      <c r="G29" s="14">
        <v>405</v>
      </c>
      <c r="H29" s="14">
        <v>459.66</v>
      </c>
    </row>
    <row r="30" spans="1:11" ht="15" thickBot="1" x14ac:dyDescent="0.35">
      <c r="A30" s="142"/>
      <c r="B30" s="143"/>
      <c r="F30" t="s">
        <v>64</v>
      </c>
      <c r="G30" s="14">
        <v>2900</v>
      </c>
      <c r="H30" s="14">
        <v>2610</v>
      </c>
    </row>
    <row r="31" spans="1:11" x14ac:dyDescent="0.3">
      <c r="A31" s="43"/>
    </row>
  </sheetData>
  <mergeCells count="3">
    <mergeCell ref="A1:C1"/>
    <mergeCell ref="F1:H1"/>
    <mergeCell ref="B5:C5"/>
  </mergeCells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D8319-2CDD-49EF-9801-B95EB6D454DF}">
  <sheetPr>
    <tabColor rgb="FFFFFF00"/>
    <pageSetUpPr fitToPage="1"/>
  </sheetPr>
  <dimension ref="A1:S43"/>
  <sheetViews>
    <sheetView workbookViewId="0">
      <selection activeCell="B20" sqref="B20"/>
    </sheetView>
  </sheetViews>
  <sheetFormatPr defaultRowHeight="14.4" x14ac:dyDescent="0.3"/>
  <cols>
    <col min="1" max="1" width="48.6640625" style="28" customWidth="1"/>
    <col min="2" max="2" width="14.109375" style="27" bestFit="1" customWidth="1"/>
    <col min="3" max="3" width="13.5546875" style="27" bestFit="1" customWidth="1"/>
    <col min="4" max="5" width="9.109375" style="27"/>
    <col min="6" max="6" width="19.5546875" style="27" bestFit="1" customWidth="1"/>
    <col min="7" max="7" width="14.109375" style="27" hidden="1" customWidth="1"/>
    <col min="8" max="8" width="13.5546875" style="27" bestFit="1" customWidth="1"/>
    <col min="12" max="12" width="16.88671875" customWidth="1"/>
  </cols>
  <sheetData>
    <row r="1" spans="1:15" ht="15" thickBot="1" x14ac:dyDescent="0.35">
      <c r="A1" s="303" t="s">
        <v>194</v>
      </c>
      <c r="B1" s="304"/>
      <c r="C1" s="304"/>
      <c r="D1"/>
      <c r="E1"/>
      <c r="F1" s="305" t="s">
        <v>60</v>
      </c>
      <c r="G1" s="306"/>
      <c r="H1" s="307"/>
      <c r="K1">
        <v>1</v>
      </c>
      <c r="L1" s="110" t="s">
        <v>395</v>
      </c>
    </row>
    <row r="2" spans="1:15" x14ac:dyDescent="0.3">
      <c r="A2"/>
      <c r="B2"/>
      <c r="C2"/>
      <c r="D2"/>
      <c r="E2"/>
      <c r="F2"/>
      <c r="G2"/>
      <c r="H2"/>
      <c r="K2">
        <v>2</v>
      </c>
      <c r="L2" s="111" t="s">
        <v>396</v>
      </c>
    </row>
    <row r="3" spans="1:15" ht="15.6" x14ac:dyDescent="0.3">
      <c r="A3"/>
      <c r="B3" s="13" t="s">
        <v>56</v>
      </c>
      <c r="C3" s="13" t="s">
        <v>57</v>
      </c>
      <c r="D3"/>
      <c r="E3"/>
      <c r="F3"/>
      <c r="G3" s="13" t="s">
        <v>56</v>
      </c>
      <c r="H3" s="13" t="s">
        <v>57</v>
      </c>
      <c r="K3">
        <v>3</v>
      </c>
      <c r="L3" s="110" t="s">
        <v>397</v>
      </c>
    </row>
    <row r="4" spans="1:15" x14ac:dyDescent="0.3">
      <c r="A4"/>
      <c r="B4"/>
      <c r="C4"/>
      <c r="D4"/>
      <c r="E4"/>
      <c r="F4" t="s">
        <v>46</v>
      </c>
      <c r="G4" s="8">
        <v>13574.38</v>
      </c>
      <c r="H4" s="9">
        <v>16481.580000000002</v>
      </c>
      <c r="K4">
        <v>4</v>
      </c>
      <c r="L4" s="76" t="s">
        <v>398</v>
      </c>
    </row>
    <row r="5" spans="1:15" x14ac:dyDescent="0.3">
      <c r="A5" s="1" t="s">
        <v>58</v>
      </c>
      <c r="B5" s="308">
        <f>+H4</f>
        <v>16481.580000000002</v>
      </c>
      <c r="C5" s="308"/>
      <c r="D5"/>
      <c r="E5"/>
      <c r="F5" t="s">
        <v>55</v>
      </c>
      <c r="G5" s="8">
        <v>2835</v>
      </c>
      <c r="H5" s="8">
        <f>+H29*7</f>
        <v>3217.6200000000003</v>
      </c>
      <c r="K5">
        <v>5</v>
      </c>
      <c r="L5" s="76" t="s">
        <v>399</v>
      </c>
    </row>
    <row r="6" spans="1:15" ht="15.6" x14ac:dyDescent="0.3">
      <c r="A6" s="1" t="s">
        <v>65</v>
      </c>
      <c r="B6" s="4">
        <v>0</v>
      </c>
      <c r="C6" s="26">
        <v>7</v>
      </c>
      <c r="D6"/>
      <c r="E6"/>
      <c r="F6" s="10" t="s">
        <v>47</v>
      </c>
      <c r="G6" s="11">
        <f>SUM(G4:G5)</f>
        <v>16409.379999999997</v>
      </c>
      <c r="H6" s="11">
        <f>SUM(H4:H5)</f>
        <v>19699.2</v>
      </c>
      <c r="K6">
        <v>6</v>
      </c>
      <c r="L6" s="76" t="s">
        <v>400</v>
      </c>
    </row>
    <row r="7" spans="1:15" x14ac:dyDescent="0.3">
      <c r="A7" s="1" t="s">
        <v>59</v>
      </c>
      <c r="B7" s="15">
        <f>+$G$29*B6</f>
        <v>0</v>
      </c>
      <c r="C7" s="15">
        <f>+H5</f>
        <v>3217.6200000000003</v>
      </c>
      <c r="D7"/>
      <c r="E7"/>
      <c r="F7"/>
      <c r="G7"/>
      <c r="H7"/>
      <c r="K7">
        <v>7</v>
      </c>
      <c r="L7" s="76" t="s">
        <v>401</v>
      </c>
    </row>
    <row r="8" spans="1:15" x14ac:dyDescent="0.3">
      <c r="A8"/>
      <c r="B8"/>
      <c r="C8"/>
      <c r="D8"/>
      <c r="E8"/>
      <c r="F8" t="s">
        <v>48</v>
      </c>
      <c r="G8" s="9">
        <v>2900</v>
      </c>
      <c r="H8" s="9">
        <v>2610</v>
      </c>
      <c r="K8">
        <v>8</v>
      </c>
      <c r="L8" s="76" t="s">
        <v>402</v>
      </c>
    </row>
    <row r="9" spans="1:15" x14ac:dyDescent="0.3">
      <c r="A9" s="1" t="s">
        <v>63</v>
      </c>
      <c r="B9" s="4">
        <v>0</v>
      </c>
      <c r="C9" s="4">
        <v>6</v>
      </c>
      <c r="D9" s="24">
        <f>+C6+C9</f>
        <v>13</v>
      </c>
      <c r="E9"/>
      <c r="F9" t="s">
        <v>54</v>
      </c>
      <c r="G9" s="12">
        <v>405</v>
      </c>
      <c r="H9" s="12">
        <f>+H29</f>
        <v>459.66</v>
      </c>
      <c r="K9">
        <v>9</v>
      </c>
      <c r="L9" s="76" t="s">
        <v>403</v>
      </c>
    </row>
    <row r="10" spans="1:15" ht="15.6" x14ac:dyDescent="0.3">
      <c r="A10" s="1" t="s">
        <v>62</v>
      </c>
      <c r="B10" s="15">
        <f>+$G$30*B9</f>
        <v>0</v>
      </c>
      <c r="C10" s="15">
        <f>+$H$30*C9</f>
        <v>15660</v>
      </c>
      <c r="D10"/>
      <c r="E10"/>
      <c r="F10" s="10" t="s">
        <v>49</v>
      </c>
      <c r="G10" s="11">
        <f>+$G$6+G8+G9</f>
        <v>19714.379999999997</v>
      </c>
      <c r="H10" s="11">
        <f>+$H$6+H8+H9</f>
        <v>22768.86</v>
      </c>
      <c r="K10">
        <v>10</v>
      </c>
      <c r="L10" s="76" t="s">
        <v>404</v>
      </c>
    </row>
    <row r="11" spans="1:15" x14ac:dyDescent="0.3">
      <c r="A11" s="1" t="s">
        <v>67</v>
      </c>
      <c r="B11" s="15">
        <f>+$G$29*B9</f>
        <v>0</v>
      </c>
      <c r="C11" s="15">
        <f>+$H$29*C9</f>
        <v>2757.96</v>
      </c>
      <c r="D11"/>
      <c r="E11"/>
      <c r="F11"/>
      <c r="G11"/>
      <c r="H11"/>
      <c r="K11">
        <v>11</v>
      </c>
      <c r="L11" s="76" t="s">
        <v>405</v>
      </c>
      <c r="O11" s="70" t="s">
        <v>169</v>
      </c>
    </row>
    <row r="12" spans="1:15" x14ac:dyDescent="0.3">
      <c r="A12"/>
      <c r="B12"/>
      <c r="C12"/>
      <c r="D12"/>
      <c r="E12"/>
      <c r="F12" t="s">
        <v>50</v>
      </c>
      <c r="G12" s="9">
        <v>5800</v>
      </c>
      <c r="H12" s="9">
        <v>5220</v>
      </c>
      <c r="K12">
        <v>12</v>
      </c>
      <c r="L12" s="76" t="s">
        <v>337</v>
      </c>
      <c r="O12" s="70" t="s">
        <v>170</v>
      </c>
    </row>
    <row r="13" spans="1:15" x14ac:dyDescent="0.3">
      <c r="A13"/>
      <c r="B13"/>
      <c r="C13"/>
      <c r="D13"/>
      <c r="E13"/>
      <c r="F13" t="s">
        <v>54</v>
      </c>
      <c r="G13" s="12">
        <v>810</v>
      </c>
      <c r="H13" s="12">
        <f>+H29*2</f>
        <v>919.32</v>
      </c>
      <c r="K13">
        <v>13</v>
      </c>
      <c r="L13" s="76" t="s">
        <v>337</v>
      </c>
    </row>
    <row r="14" spans="1:15" ht="15.6" x14ac:dyDescent="0.3">
      <c r="A14"/>
      <c r="B14"/>
      <c r="C14"/>
      <c r="D14"/>
      <c r="E14"/>
      <c r="F14" s="10" t="s">
        <v>49</v>
      </c>
      <c r="G14" s="11">
        <f>+$G$6+G12+G13</f>
        <v>23019.379999999997</v>
      </c>
      <c r="H14" s="11">
        <f>+$H$6+H12+H13</f>
        <v>25838.52</v>
      </c>
      <c r="L14" s="235"/>
    </row>
    <row r="15" spans="1:15" x14ac:dyDescent="0.3">
      <c r="A15" s="1" t="s">
        <v>68</v>
      </c>
      <c r="B15" s="15">
        <f>+B10+C10</f>
        <v>15660</v>
      </c>
      <c r="C15" s="14"/>
      <c r="D15"/>
      <c r="E15"/>
      <c r="F15"/>
      <c r="G15"/>
      <c r="H15"/>
      <c r="L15" s="236">
        <f>13*150</f>
        <v>1950</v>
      </c>
    </row>
    <row r="16" spans="1:15" x14ac:dyDescent="0.3">
      <c r="A16" s="80" t="s">
        <v>66</v>
      </c>
      <c r="B16" s="81">
        <f>B7+C7+B11+C11</f>
        <v>5975.58</v>
      </c>
      <c r="C16" s="17"/>
      <c r="D16" s="21"/>
      <c r="E16"/>
      <c r="F16" t="s">
        <v>51</v>
      </c>
      <c r="G16" s="9">
        <v>8700</v>
      </c>
      <c r="H16" s="9">
        <v>7830</v>
      </c>
      <c r="L16" s="236"/>
    </row>
    <row r="17" spans="1:19" x14ac:dyDescent="0.3">
      <c r="A17"/>
      <c r="B17"/>
      <c r="C17"/>
      <c r="D17"/>
      <c r="E17"/>
      <c r="F17" t="s">
        <v>54</v>
      </c>
      <c r="G17" s="12">
        <v>1215</v>
      </c>
      <c r="H17" s="12">
        <f>+H29*3</f>
        <v>1378.98</v>
      </c>
      <c r="K17" s="207"/>
    </row>
    <row r="18" spans="1:19" ht="15.6" x14ac:dyDescent="0.3">
      <c r="A18" s="1" t="s">
        <v>69</v>
      </c>
      <c r="B18" s="248">
        <v>5600</v>
      </c>
      <c r="C18" s="20" t="s">
        <v>178</v>
      </c>
      <c r="D18"/>
      <c r="E18"/>
      <c r="F18" s="10" t="s">
        <v>49</v>
      </c>
      <c r="G18" s="11">
        <f>+$G$6+G16+G17</f>
        <v>26324.379999999997</v>
      </c>
      <c r="H18" s="11">
        <f>+$H$6+H16+H17</f>
        <v>28908.18</v>
      </c>
      <c r="K18" s="208"/>
    </row>
    <row r="19" spans="1:19" ht="15" thickBot="1" x14ac:dyDescent="0.35">
      <c r="A19" s="17"/>
      <c r="B19"/>
      <c r="C19"/>
      <c r="D19"/>
      <c r="E19"/>
      <c r="F19"/>
      <c r="G19"/>
      <c r="H19"/>
      <c r="K19" s="207"/>
    </row>
    <row r="20" spans="1:19" ht="15" thickBot="1" x14ac:dyDescent="0.35">
      <c r="A20" s="146" t="s">
        <v>163</v>
      </c>
      <c r="B20" s="148">
        <f>D9*150</f>
        <v>1950</v>
      </c>
      <c r="C20" s="17" t="s">
        <v>165</v>
      </c>
      <c r="D20" s="17"/>
      <c r="E20" s="17"/>
      <c r="F20" t="s">
        <v>52</v>
      </c>
      <c r="G20" s="9">
        <v>11600</v>
      </c>
      <c r="H20" s="9">
        <v>10440</v>
      </c>
      <c r="K20" s="207"/>
      <c r="L20" s="27" t="s">
        <v>212</v>
      </c>
    </row>
    <row r="21" spans="1:19" x14ac:dyDescent="0.3">
      <c r="A21" s="144"/>
      <c r="B21" s="145"/>
      <c r="C21" t="s">
        <v>178</v>
      </c>
      <c r="D21" s="17"/>
      <c r="E21" s="17"/>
      <c r="F21" t="s">
        <v>54</v>
      </c>
      <c r="G21" s="12">
        <v>1620</v>
      </c>
      <c r="H21" s="12">
        <f>+H29*4</f>
        <v>1838.64</v>
      </c>
      <c r="K21" s="207"/>
      <c r="L21" s="153" t="s">
        <v>225</v>
      </c>
      <c r="M21" s="226">
        <v>1400</v>
      </c>
    </row>
    <row r="22" spans="1:19" ht="15.6" x14ac:dyDescent="0.3">
      <c r="A22" s="140"/>
      <c r="B22" s="141"/>
      <c r="C22"/>
      <c r="D22" s="17"/>
      <c r="E22"/>
      <c r="F22" s="10" t="s">
        <v>49</v>
      </c>
      <c r="G22" s="11">
        <f>+$G$6+G20+G21</f>
        <v>29629.379999999997</v>
      </c>
      <c r="H22" s="11">
        <f>+$H$6+H20+H21</f>
        <v>31977.84</v>
      </c>
      <c r="K22" s="207"/>
      <c r="L22" s="102" t="s">
        <v>223</v>
      </c>
      <c r="M22" s="226">
        <v>1400</v>
      </c>
    </row>
    <row r="23" spans="1:19" x14ac:dyDescent="0.3">
      <c r="A23" s="140"/>
      <c r="B23" s="141"/>
      <c r="C23" s="14"/>
      <c r="D23" s="17"/>
      <c r="E23"/>
      <c r="F23"/>
      <c r="G23"/>
      <c r="H23"/>
      <c r="K23" s="207"/>
      <c r="L23" s="102" t="s">
        <v>224</v>
      </c>
      <c r="M23" s="107">
        <v>1400</v>
      </c>
    </row>
    <row r="24" spans="1:19" ht="15" thickBot="1" x14ac:dyDescent="0.35">
      <c r="A24" s="142"/>
      <c r="B24" s="143"/>
      <c r="C24" s="88"/>
      <c r="D24" s="17"/>
      <c r="E24"/>
      <c r="F24" t="s">
        <v>53</v>
      </c>
      <c r="G24" s="9">
        <v>14500</v>
      </c>
      <c r="H24" s="9">
        <v>13050</v>
      </c>
      <c r="K24" s="207"/>
      <c r="L24" s="102" t="s">
        <v>226</v>
      </c>
      <c r="M24" s="226">
        <v>1400</v>
      </c>
    </row>
    <row r="25" spans="1:19" ht="15" thickBot="1" x14ac:dyDescent="0.35">
      <c r="A25"/>
      <c r="B25"/>
      <c r="C25" s="90"/>
      <c r="D25"/>
      <c r="E25"/>
      <c r="F25" t="s">
        <v>54</v>
      </c>
      <c r="G25" s="12">
        <v>2025</v>
      </c>
      <c r="H25" s="12">
        <f>+H29*5</f>
        <v>2298.3000000000002</v>
      </c>
      <c r="K25" s="207"/>
      <c r="L25" s="27"/>
      <c r="M25">
        <f>SUM(M21:M24)</f>
        <v>5600</v>
      </c>
    </row>
    <row r="26" spans="1:19" ht="16.2" thickBot="1" x14ac:dyDescent="0.35">
      <c r="A26" s="146" t="s">
        <v>164</v>
      </c>
      <c r="B26" s="147">
        <f>SUM(B27:B30)</f>
        <v>600</v>
      </c>
      <c r="C26" s="17" t="s">
        <v>165</v>
      </c>
      <c r="D26"/>
      <c r="E26"/>
      <c r="F26" s="10" t="s">
        <v>49</v>
      </c>
      <c r="G26" s="11">
        <f>+$G$6+G24+G25</f>
        <v>32934.379999999997</v>
      </c>
      <c r="H26" s="11">
        <f>+$H$6+H24+H25</f>
        <v>35047.5</v>
      </c>
      <c r="K26" s="209"/>
      <c r="L26" s="27"/>
    </row>
    <row r="27" spans="1:19" x14ac:dyDescent="0.3">
      <c r="A27" s="144" t="s">
        <v>167</v>
      </c>
      <c r="B27" s="145"/>
      <c r="C27"/>
      <c r="D27"/>
      <c r="E27"/>
      <c r="F27"/>
      <c r="G27"/>
      <c r="H27"/>
      <c r="K27" s="210"/>
      <c r="L27" s="264" t="s">
        <v>265</v>
      </c>
      <c r="M27" s="247"/>
      <c r="N27" s="247"/>
      <c r="O27" s="247"/>
      <c r="P27" s="247"/>
      <c r="Q27" s="247"/>
      <c r="R27" s="247"/>
      <c r="S27" s="247"/>
    </row>
    <row r="28" spans="1:19" x14ac:dyDescent="0.3">
      <c r="A28" s="140" t="s">
        <v>173</v>
      </c>
      <c r="B28" s="284">
        <f>200*3</f>
        <v>600</v>
      </c>
      <c r="C28" t="s">
        <v>178</v>
      </c>
      <c r="D28"/>
      <c r="E28"/>
      <c r="F28"/>
      <c r="G28"/>
      <c r="H28"/>
      <c r="K28" s="210"/>
      <c r="L28" s="261" t="s">
        <v>279</v>
      </c>
      <c r="M28" s="265">
        <v>50</v>
      </c>
      <c r="N28" s="261" t="s">
        <v>257</v>
      </c>
      <c r="O28" s="261">
        <v>38.28</v>
      </c>
      <c r="P28" s="266" t="s">
        <v>280</v>
      </c>
      <c r="Q28" s="265" t="s">
        <v>281</v>
      </c>
      <c r="R28" s="261" t="s">
        <v>261</v>
      </c>
      <c r="S28" s="24">
        <v>200</v>
      </c>
    </row>
    <row r="29" spans="1:19" x14ac:dyDescent="0.3">
      <c r="A29" s="140"/>
      <c r="B29" s="141"/>
      <c r="C29"/>
      <c r="D29"/>
      <c r="E29"/>
      <c r="F29" t="s">
        <v>61</v>
      </c>
      <c r="G29" s="14">
        <v>405</v>
      </c>
      <c r="H29" s="14">
        <v>459.66</v>
      </c>
      <c r="K29" s="211"/>
      <c r="L29" s="261" t="s">
        <v>217</v>
      </c>
      <c r="M29" s="261"/>
      <c r="N29" s="261" t="s">
        <v>257</v>
      </c>
      <c r="O29" s="261">
        <v>39.979999999999997</v>
      </c>
      <c r="P29" s="262" t="s">
        <v>280</v>
      </c>
      <c r="Q29" s="261" t="s">
        <v>281</v>
      </c>
      <c r="R29" s="261" t="s">
        <v>261</v>
      </c>
      <c r="S29" s="24">
        <v>200</v>
      </c>
    </row>
    <row r="30" spans="1:19" ht="15" thickBot="1" x14ac:dyDescent="0.35">
      <c r="A30" s="142"/>
      <c r="B30" s="143"/>
      <c r="C30"/>
      <c r="D30"/>
      <c r="E30"/>
      <c r="F30" t="s">
        <v>64</v>
      </c>
      <c r="G30" s="14">
        <v>2900</v>
      </c>
      <c r="H30" s="14">
        <v>2610</v>
      </c>
      <c r="K30" s="209"/>
      <c r="L30" s="261" t="s">
        <v>282</v>
      </c>
      <c r="M30" s="261"/>
      <c r="N30" s="261" t="s">
        <v>257</v>
      </c>
      <c r="O30" s="261">
        <v>34.86</v>
      </c>
      <c r="P30" s="262" t="s">
        <v>280</v>
      </c>
      <c r="Q30" s="261" t="s">
        <v>281</v>
      </c>
      <c r="R30" s="261" t="s">
        <v>261</v>
      </c>
      <c r="S30" s="24">
        <v>200</v>
      </c>
    </row>
    <row r="31" spans="1:19" x14ac:dyDescent="0.3">
      <c r="A31"/>
      <c r="B31"/>
      <c r="C31"/>
      <c r="D31"/>
      <c r="E31"/>
      <c r="F31"/>
      <c r="G31"/>
      <c r="H31"/>
      <c r="K31" s="163"/>
      <c r="L31" s="247"/>
      <c r="M31" s="247"/>
      <c r="N31" s="247"/>
      <c r="O31" s="247"/>
      <c r="P31" s="247"/>
      <c r="Q31" s="247"/>
      <c r="R31" s="247"/>
      <c r="S31" s="247">
        <f>SUM(S28:S30)</f>
        <v>600</v>
      </c>
    </row>
    <row r="32" spans="1:19" x14ac:dyDescent="0.3">
      <c r="A32" s="74"/>
      <c r="B32" s="54"/>
      <c r="C32"/>
      <c r="D32"/>
      <c r="K32" s="163"/>
    </row>
    <row r="33" spans="1:4" x14ac:dyDescent="0.3">
      <c r="A33"/>
      <c r="D33"/>
    </row>
    <row r="34" spans="1:4" x14ac:dyDescent="0.3">
      <c r="A34"/>
      <c r="D34"/>
    </row>
    <row r="35" spans="1:4" x14ac:dyDescent="0.3">
      <c r="A35"/>
    </row>
    <row r="36" spans="1:4" x14ac:dyDescent="0.3">
      <c r="A36"/>
    </row>
    <row r="37" spans="1:4" x14ac:dyDescent="0.3">
      <c r="A37"/>
    </row>
    <row r="38" spans="1:4" x14ac:dyDescent="0.3">
      <c r="A38"/>
    </row>
    <row r="39" spans="1:4" x14ac:dyDescent="0.3">
      <c r="A39"/>
    </row>
    <row r="43" spans="1:4" x14ac:dyDescent="0.3">
      <c r="A43" s="30"/>
    </row>
  </sheetData>
  <mergeCells count="3">
    <mergeCell ref="A1:C1"/>
    <mergeCell ref="F1:H1"/>
    <mergeCell ref="B5:C5"/>
  </mergeCells>
  <pageMargins left="0.7" right="0.7" top="0.75" bottom="0.75" header="0.3" footer="0.3"/>
  <pageSetup paperSize="9" scale="74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0D099-5C89-42C7-91FA-08EECD65CF34}">
  <sheetPr>
    <tabColor rgb="FFFFFF00"/>
    <pageSetUpPr fitToPage="1"/>
  </sheetPr>
  <dimension ref="A1:S43"/>
  <sheetViews>
    <sheetView workbookViewId="0">
      <selection activeCell="B20" sqref="B20"/>
    </sheetView>
  </sheetViews>
  <sheetFormatPr defaultRowHeight="14.4" x14ac:dyDescent="0.3"/>
  <cols>
    <col min="1" max="1" width="48.6640625" style="28" customWidth="1"/>
    <col min="2" max="2" width="14.109375" style="27" bestFit="1" customWidth="1"/>
    <col min="3" max="3" width="13.5546875" style="27" bestFit="1" customWidth="1"/>
    <col min="4" max="5" width="9.109375" style="27"/>
    <col min="6" max="6" width="19.5546875" style="27" bestFit="1" customWidth="1"/>
    <col min="7" max="7" width="14.109375" style="27" hidden="1" customWidth="1"/>
    <col min="8" max="8" width="13.5546875" style="27" bestFit="1" customWidth="1"/>
    <col min="12" max="12" width="16.88671875" customWidth="1"/>
    <col min="13" max="13" width="21.6640625" customWidth="1"/>
  </cols>
  <sheetData>
    <row r="1" spans="1:15" ht="15" thickBot="1" x14ac:dyDescent="0.35">
      <c r="A1" s="303" t="s">
        <v>196</v>
      </c>
      <c r="B1" s="304"/>
      <c r="C1" s="304"/>
      <c r="D1"/>
      <c r="E1"/>
      <c r="F1" s="305" t="s">
        <v>60</v>
      </c>
      <c r="G1" s="306"/>
      <c r="H1" s="307"/>
      <c r="L1">
        <v>1</v>
      </c>
      <c r="M1" s="133" t="s">
        <v>406</v>
      </c>
    </row>
    <row r="2" spans="1:15" x14ac:dyDescent="0.3">
      <c r="A2"/>
      <c r="B2"/>
      <c r="C2"/>
      <c r="D2"/>
      <c r="E2"/>
      <c r="F2"/>
      <c r="G2"/>
      <c r="H2"/>
      <c r="L2">
        <v>2</v>
      </c>
      <c r="M2" s="133" t="s">
        <v>407</v>
      </c>
    </row>
    <row r="3" spans="1:15" ht="15.6" x14ac:dyDescent="0.3">
      <c r="A3"/>
      <c r="B3" s="13" t="s">
        <v>56</v>
      </c>
      <c r="C3" s="13" t="s">
        <v>57</v>
      </c>
      <c r="D3"/>
      <c r="E3"/>
      <c r="F3"/>
      <c r="G3" s="13" t="s">
        <v>56</v>
      </c>
      <c r="H3" s="13" t="s">
        <v>57</v>
      </c>
      <c r="L3">
        <v>3</v>
      </c>
      <c r="M3" s="76" t="s">
        <v>408</v>
      </c>
    </row>
    <row r="4" spans="1:15" x14ac:dyDescent="0.3">
      <c r="A4"/>
      <c r="B4"/>
      <c r="C4"/>
      <c r="D4"/>
      <c r="E4"/>
      <c r="F4" t="s">
        <v>46</v>
      </c>
      <c r="G4" s="8">
        <v>13574.38</v>
      </c>
      <c r="H4" s="9">
        <v>16481.580000000002</v>
      </c>
      <c r="L4">
        <v>4</v>
      </c>
      <c r="M4" s="76" t="s">
        <v>409</v>
      </c>
    </row>
    <row r="5" spans="1:15" x14ac:dyDescent="0.3">
      <c r="A5" s="1" t="s">
        <v>58</v>
      </c>
      <c r="B5" s="308">
        <f>+H4</f>
        <v>16481.580000000002</v>
      </c>
      <c r="C5" s="308"/>
      <c r="D5"/>
      <c r="E5"/>
      <c r="F5" t="s">
        <v>55</v>
      </c>
      <c r="G5" s="8">
        <v>2835</v>
      </c>
      <c r="H5" s="8">
        <f>+H29*7</f>
        <v>3217.6200000000003</v>
      </c>
      <c r="L5">
        <v>5</v>
      </c>
      <c r="M5" s="76" t="s">
        <v>410</v>
      </c>
    </row>
    <row r="6" spans="1:15" ht="15.6" x14ac:dyDescent="0.3">
      <c r="A6" s="1" t="s">
        <v>65</v>
      </c>
      <c r="B6" s="4">
        <v>0</v>
      </c>
      <c r="C6" s="26">
        <v>7</v>
      </c>
      <c r="D6"/>
      <c r="E6"/>
      <c r="F6" s="10" t="s">
        <v>47</v>
      </c>
      <c r="G6" s="11">
        <f>SUM(G4:G5)</f>
        <v>16409.379999999997</v>
      </c>
      <c r="H6" s="11">
        <f>SUM(H4:H5)</f>
        <v>19699.2</v>
      </c>
      <c r="L6">
        <v>6</v>
      </c>
      <c r="M6" s="76" t="s">
        <v>411</v>
      </c>
    </row>
    <row r="7" spans="1:15" x14ac:dyDescent="0.3">
      <c r="A7" s="1" t="s">
        <v>59</v>
      </c>
      <c r="B7" s="15">
        <f>+$G$29*B6</f>
        <v>0</v>
      </c>
      <c r="C7" s="15">
        <f>+H5</f>
        <v>3217.6200000000003</v>
      </c>
      <c r="D7"/>
      <c r="E7"/>
      <c r="F7"/>
      <c r="G7"/>
      <c r="H7"/>
      <c r="L7">
        <v>7</v>
      </c>
      <c r="M7" s="76" t="s">
        <v>412</v>
      </c>
    </row>
    <row r="8" spans="1:15" x14ac:dyDescent="0.3">
      <c r="A8"/>
      <c r="B8"/>
      <c r="C8"/>
      <c r="D8"/>
      <c r="E8"/>
      <c r="F8" t="s">
        <v>48</v>
      </c>
      <c r="G8" s="9">
        <v>2900</v>
      </c>
      <c r="H8" s="9">
        <v>2610</v>
      </c>
      <c r="L8">
        <v>8</v>
      </c>
      <c r="M8" s="76" t="s">
        <v>413</v>
      </c>
    </row>
    <row r="9" spans="1:15" x14ac:dyDescent="0.3">
      <c r="A9" s="1" t="s">
        <v>63</v>
      </c>
      <c r="B9" s="4">
        <v>0</v>
      </c>
      <c r="C9" s="4">
        <v>6</v>
      </c>
      <c r="D9" s="24">
        <f>+C6+C9</f>
        <v>13</v>
      </c>
      <c r="E9"/>
      <c r="F9" t="s">
        <v>54</v>
      </c>
      <c r="G9" s="12">
        <v>405</v>
      </c>
      <c r="H9" s="12">
        <f>+H29</f>
        <v>459.66</v>
      </c>
      <c r="L9">
        <v>9</v>
      </c>
      <c r="M9" s="133" t="s">
        <v>414</v>
      </c>
    </row>
    <row r="10" spans="1:15" ht="15.6" x14ac:dyDescent="0.3">
      <c r="A10" s="1" t="s">
        <v>62</v>
      </c>
      <c r="B10" s="15">
        <f>+$G$30*B9</f>
        <v>0</v>
      </c>
      <c r="C10" s="15">
        <f>+$H$30*C9</f>
        <v>15660</v>
      </c>
      <c r="D10"/>
      <c r="E10"/>
      <c r="F10" s="10" t="s">
        <v>49</v>
      </c>
      <c r="G10" s="11">
        <f>+$G$6+G8+G9</f>
        <v>19714.379999999997</v>
      </c>
      <c r="H10" s="11">
        <f>+$H$6+H8+H9</f>
        <v>22768.86</v>
      </c>
      <c r="L10">
        <v>10</v>
      </c>
      <c r="M10" s="76" t="s">
        <v>415</v>
      </c>
    </row>
    <row r="11" spans="1:15" x14ac:dyDescent="0.3">
      <c r="A11" s="1" t="s">
        <v>67</v>
      </c>
      <c r="B11" s="15">
        <f>+$G$29*B9</f>
        <v>0</v>
      </c>
      <c r="C11" s="15">
        <f>+$H$29*C9</f>
        <v>2757.96</v>
      </c>
      <c r="D11"/>
      <c r="E11"/>
      <c r="F11"/>
      <c r="G11"/>
      <c r="H11"/>
      <c r="L11">
        <v>11</v>
      </c>
      <c r="M11" s="76" t="s">
        <v>416</v>
      </c>
      <c r="O11" s="70" t="s">
        <v>169</v>
      </c>
    </row>
    <row r="12" spans="1:15" x14ac:dyDescent="0.3">
      <c r="A12"/>
      <c r="B12"/>
      <c r="C12"/>
      <c r="D12"/>
      <c r="E12"/>
      <c r="F12" t="s">
        <v>50</v>
      </c>
      <c r="G12" s="9">
        <v>5800</v>
      </c>
      <c r="H12" s="9">
        <v>5220</v>
      </c>
      <c r="L12">
        <v>12</v>
      </c>
      <c r="M12" s="133" t="s">
        <v>417</v>
      </c>
      <c r="O12" s="70" t="s">
        <v>170</v>
      </c>
    </row>
    <row r="13" spans="1:15" x14ac:dyDescent="0.3">
      <c r="A13"/>
      <c r="B13"/>
      <c r="C13"/>
      <c r="D13"/>
      <c r="E13"/>
      <c r="F13" t="s">
        <v>54</v>
      </c>
      <c r="G13" s="12">
        <v>810</v>
      </c>
      <c r="H13" s="12">
        <f>+H29*2</f>
        <v>919.32</v>
      </c>
      <c r="L13">
        <v>13</v>
      </c>
      <c r="M13" s="76" t="s">
        <v>372</v>
      </c>
    </row>
    <row r="14" spans="1:15" ht="15.6" x14ac:dyDescent="0.3">
      <c r="A14"/>
      <c r="B14"/>
      <c r="C14"/>
      <c r="D14"/>
      <c r="E14"/>
      <c r="F14" s="10" t="s">
        <v>49</v>
      </c>
      <c r="G14" s="11">
        <f>+$G$6+G12+G13</f>
        <v>23019.379999999997</v>
      </c>
      <c r="H14" s="11">
        <f>+$H$6+H12+H13</f>
        <v>25838.52</v>
      </c>
      <c r="L14" s="207"/>
      <c r="M14">
        <f>13*150</f>
        <v>1950</v>
      </c>
    </row>
    <row r="15" spans="1:15" x14ac:dyDescent="0.3">
      <c r="A15" s="1" t="s">
        <v>68</v>
      </c>
      <c r="B15" s="15">
        <f>+B10+C10</f>
        <v>15660</v>
      </c>
      <c r="C15" s="14"/>
      <c r="D15"/>
      <c r="E15"/>
      <c r="F15"/>
      <c r="G15"/>
      <c r="H15"/>
    </row>
    <row r="16" spans="1:15" x14ac:dyDescent="0.3">
      <c r="A16" s="80" t="s">
        <v>66</v>
      </c>
      <c r="B16" s="81">
        <f>B7+C7+B11+C11</f>
        <v>5975.58</v>
      </c>
      <c r="C16" s="17"/>
      <c r="D16" s="21"/>
      <c r="E16"/>
      <c r="F16" t="s">
        <v>51</v>
      </c>
      <c r="G16" s="9">
        <v>8700</v>
      </c>
      <c r="H16" s="9">
        <v>7830</v>
      </c>
    </row>
    <row r="17" spans="1:19" x14ac:dyDescent="0.3">
      <c r="A17"/>
      <c r="B17"/>
      <c r="C17"/>
      <c r="D17"/>
      <c r="E17"/>
      <c r="F17" t="s">
        <v>54</v>
      </c>
      <c r="G17" s="12">
        <v>1215</v>
      </c>
      <c r="H17" s="12">
        <f>+H29*3</f>
        <v>1378.98</v>
      </c>
    </row>
    <row r="18" spans="1:19" ht="15.6" x14ac:dyDescent="0.3">
      <c r="A18" s="1" t="s">
        <v>69</v>
      </c>
      <c r="B18" s="248">
        <v>5600</v>
      </c>
      <c r="C18" s="20" t="s">
        <v>178</v>
      </c>
      <c r="D18"/>
      <c r="E18"/>
      <c r="F18" s="10" t="s">
        <v>49</v>
      </c>
      <c r="G18" s="11">
        <f>+$G$6+G16+G17</f>
        <v>26324.379999999997</v>
      </c>
      <c r="H18" s="11">
        <f>+$H$6+H16+H17</f>
        <v>28908.18</v>
      </c>
    </row>
    <row r="19" spans="1:19" ht="15" thickBot="1" x14ac:dyDescent="0.35">
      <c r="A19" s="17"/>
      <c r="B19"/>
      <c r="C19"/>
      <c r="D19"/>
      <c r="E19"/>
      <c r="F19"/>
      <c r="G19"/>
      <c r="H19"/>
    </row>
    <row r="20" spans="1:19" ht="15" thickBot="1" x14ac:dyDescent="0.35">
      <c r="A20" s="146" t="s">
        <v>163</v>
      </c>
      <c r="B20" s="148">
        <f>D9*150</f>
        <v>1950</v>
      </c>
      <c r="C20" s="17" t="s">
        <v>165</v>
      </c>
      <c r="D20" s="17"/>
      <c r="E20" s="17"/>
      <c r="F20" t="s">
        <v>52</v>
      </c>
      <c r="G20" s="9">
        <v>11600</v>
      </c>
      <c r="H20" s="9">
        <v>10440</v>
      </c>
      <c r="K20" s="207"/>
      <c r="L20" s="27" t="s">
        <v>212</v>
      </c>
    </row>
    <row r="21" spans="1:19" x14ac:dyDescent="0.3">
      <c r="A21" s="144"/>
      <c r="B21" s="145"/>
      <c r="C21" t="s">
        <v>178</v>
      </c>
      <c r="D21" s="17"/>
      <c r="E21" s="17"/>
      <c r="F21" t="s">
        <v>54</v>
      </c>
      <c r="G21" s="12">
        <v>1620</v>
      </c>
      <c r="H21" s="12">
        <f>+H29*4</f>
        <v>1838.64</v>
      </c>
      <c r="K21" s="207"/>
      <c r="L21" s="153" t="s">
        <v>225</v>
      </c>
      <c r="M21" s="226">
        <v>1400</v>
      </c>
    </row>
    <row r="22" spans="1:19" ht="15.6" x14ac:dyDescent="0.3">
      <c r="A22" s="140"/>
      <c r="B22" s="141"/>
      <c r="C22"/>
      <c r="D22" s="17"/>
      <c r="E22"/>
      <c r="F22" s="10" t="s">
        <v>49</v>
      </c>
      <c r="G22" s="11">
        <f>+$G$6+G20+G21</f>
        <v>29629.379999999997</v>
      </c>
      <c r="H22" s="11">
        <f>+$H$6+H20+H21</f>
        <v>31977.84</v>
      </c>
      <c r="K22" s="207"/>
      <c r="L22" s="102" t="s">
        <v>223</v>
      </c>
      <c r="M22" s="226">
        <v>1400</v>
      </c>
    </row>
    <row r="23" spans="1:19" x14ac:dyDescent="0.3">
      <c r="A23" s="140"/>
      <c r="B23" s="141"/>
      <c r="C23" s="14"/>
      <c r="D23" s="17"/>
      <c r="E23"/>
      <c r="F23"/>
      <c r="G23"/>
      <c r="H23"/>
      <c r="K23" s="207"/>
      <c r="L23" s="102" t="s">
        <v>224</v>
      </c>
      <c r="M23" s="107">
        <v>1400</v>
      </c>
    </row>
    <row r="24" spans="1:19" ht="15" thickBot="1" x14ac:dyDescent="0.35">
      <c r="A24" s="142"/>
      <c r="B24" s="143"/>
      <c r="C24" s="88"/>
      <c r="D24" s="17"/>
      <c r="E24"/>
      <c r="F24" t="s">
        <v>53</v>
      </c>
      <c r="G24" s="9">
        <v>14500</v>
      </c>
      <c r="H24" s="9">
        <v>13050</v>
      </c>
      <c r="K24" s="207"/>
      <c r="L24" s="102" t="s">
        <v>226</v>
      </c>
      <c r="M24" s="226">
        <v>1400</v>
      </c>
    </row>
    <row r="25" spans="1:19" ht="15" thickBot="1" x14ac:dyDescent="0.35">
      <c r="A25"/>
      <c r="B25"/>
      <c r="C25" s="90"/>
      <c r="D25"/>
      <c r="E25"/>
      <c r="F25" t="s">
        <v>54</v>
      </c>
      <c r="G25" s="12">
        <v>2025</v>
      </c>
      <c r="H25" s="12">
        <f>+H29*5</f>
        <v>2298.3000000000002</v>
      </c>
      <c r="K25" s="207"/>
      <c r="L25" s="27"/>
      <c r="M25">
        <f>SUM(M21:M24)</f>
        <v>5600</v>
      </c>
    </row>
    <row r="26" spans="1:19" ht="16.2" thickBot="1" x14ac:dyDescent="0.35">
      <c r="A26" s="146" t="s">
        <v>164</v>
      </c>
      <c r="B26" s="147">
        <f>SUM(B27:B30)</f>
        <v>400</v>
      </c>
      <c r="C26" s="17" t="s">
        <v>165</v>
      </c>
      <c r="D26"/>
      <c r="E26"/>
      <c r="F26" s="10" t="s">
        <v>49</v>
      </c>
      <c r="G26" s="11">
        <f>+$G$6+G24+G25</f>
        <v>32934.379999999997</v>
      </c>
      <c r="H26" s="11">
        <f>+$H$6+H24+H25</f>
        <v>35047.5</v>
      </c>
      <c r="K26" s="209"/>
      <c r="L26" s="27"/>
    </row>
    <row r="27" spans="1:19" x14ac:dyDescent="0.3">
      <c r="A27" s="144" t="s">
        <v>167</v>
      </c>
      <c r="B27" s="145"/>
      <c r="C27"/>
      <c r="D27"/>
      <c r="E27"/>
      <c r="F27"/>
      <c r="G27"/>
      <c r="H27"/>
      <c r="K27" s="210"/>
      <c r="L27" s="264" t="s">
        <v>265</v>
      </c>
      <c r="M27" s="247"/>
      <c r="N27" s="247"/>
      <c r="O27" s="247"/>
      <c r="P27" s="247"/>
      <c r="Q27" s="247"/>
      <c r="R27" s="247"/>
      <c r="S27" s="247"/>
    </row>
    <row r="28" spans="1:19" x14ac:dyDescent="0.3">
      <c r="A28" s="140" t="s">
        <v>173</v>
      </c>
      <c r="B28" s="284">
        <f>200*2</f>
        <v>400</v>
      </c>
      <c r="C28" t="s">
        <v>178</v>
      </c>
      <c r="D28"/>
      <c r="E28"/>
      <c r="F28"/>
      <c r="G28"/>
      <c r="H28"/>
      <c r="K28" s="210"/>
      <c r="L28" s="261" t="s">
        <v>282</v>
      </c>
      <c r="M28" s="261"/>
      <c r="N28" s="261" t="s">
        <v>257</v>
      </c>
      <c r="O28" s="261">
        <v>33.46</v>
      </c>
      <c r="P28" s="262" t="s">
        <v>284</v>
      </c>
      <c r="Q28" s="261" t="s">
        <v>285</v>
      </c>
      <c r="R28" s="261" t="s">
        <v>261</v>
      </c>
      <c r="S28" s="24">
        <v>200</v>
      </c>
    </row>
    <row r="29" spans="1:19" x14ac:dyDescent="0.3">
      <c r="A29" s="140"/>
      <c r="B29" s="141"/>
      <c r="C29"/>
      <c r="D29"/>
      <c r="E29"/>
      <c r="F29" t="s">
        <v>61</v>
      </c>
      <c r="G29" s="14">
        <v>405</v>
      </c>
      <c r="H29" s="14">
        <v>459.66</v>
      </c>
      <c r="K29" s="211"/>
      <c r="L29" s="261" t="s">
        <v>286</v>
      </c>
      <c r="M29" s="261"/>
      <c r="N29" s="261" t="s">
        <v>257</v>
      </c>
      <c r="O29" s="261">
        <v>35.44</v>
      </c>
      <c r="P29" s="262" t="s">
        <v>284</v>
      </c>
      <c r="Q29" s="261" t="s">
        <v>285</v>
      </c>
      <c r="R29" s="261" t="s">
        <v>261</v>
      </c>
      <c r="S29" s="24">
        <v>200</v>
      </c>
    </row>
    <row r="30" spans="1:19" ht="15" thickBot="1" x14ac:dyDescent="0.35">
      <c r="A30" s="142"/>
      <c r="B30" s="143"/>
      <c r="C30"/>
      <c r="D30"/>
      <c r="E30"/>
      <c r="F30" t="s">
        <v>64</v>
      </c>
      <c r="G30" s="14">
        <v>2900</v>
      </c>
      <c r="H30" s="14">
        <v>2610</v>
      </c>
      <c r="K30" s="209"/>
      <c r="L30" s="247"/>
      <c r="M30" s="247"/>
      <c r="N30" s="247"/>
      <c r="O30" s="247"/>
      <c r="P30" s="247"/>
      <c r="Q30" s="247"/>
      <c r="R30" s="247"/>
      <c r="S30" s="247">
        <f>SUM(S28:S29)</f>
        <v>400</v>
      </c>
    </row>
    <row r="31" spans="1:19" x14ac:dyDescent="0.3">
      <c r="A31"/>
      <c r="B31"/>
      <c r="C31"/>
      <c r="D31"/>
      <c r="E31"/>
      <c r="F31"/>
      <c r="G31"/>
      <c r="H31"/>
      <c r="K31" s="163"/>
    </row>
    <row r="32" spans="1:19" x14ac:dyDescent="0.3">
      <c r="A32" s="74"/>
      <c r="B32" s="54"/>
      <c r="C32"/>
      <c r="D32"/>
      <c r="K32" s="163"/>
    </row>
    <row r="33" spans="1:4" x14ac:dyDescent="0.3">
      <c r="A33"/>
      <c r="D33"/>
    </row>
    <row r="34" spans="1:4" x14ac:dyDescent="0.3">
      <c r="A34"/>
      <c r="D34"/>
    </row>
    <row r="35" spans="1:4" x14ac:dyDescent="0.3">
      <c r="A35"/>
    </row>
    <row r="36" spans="1:4" x14ac:dyDescent="0.3">
      <c r="A36"/>
    </row>
    <row r="37" spans="1:4" x14ac:dyDescent="0.3">
      <c r="A37"/>
    </row>
    <row r="38" spans="1:4" x14ac:dyDescent="0.3">
      <c r="A38"/>
    </row>
    <row r="39" spans="1:4" x14ac:dyDescent="0.3">
      <c r="A39"/>
    </row>
    <row r="43" spans="1:4" x14ac:dyDescent="0.3">
      <c r="A43" s="30"/>
    </row>
  </sheetData>
  <mergeCells count="3">
    <mergeCell ref="A1:C1"/>
    <mergeCell ref="F1:H1"/>
    <mergeCell ref="B5:C5"/>
  </mergeCells>
  <pageMargins left="0.7" right="0.7" top="0.75" bottom="0.75" header="0.3" footer="0.3"/>
  <pageSetup paperSize="9" scale="74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DF30-FEA8-4B97-9AB1-A55DEE0F22D6}">
  <sheetPr>
    <tabColor rgb="FFFFFF00"/>
  </sheetPr>
  <dimension ref="A1:Q30"/>
  <sheetViews>
    <sheetView zoomScaleNormal="100" workbookViewId="0">
      <selection activeCell="B20" sqref="B20"/>
    </sheetView>
  </sheetViews>
  <sheetFormatPr defaultColWidth="9.109375" defaultRowHeight="14.4" x14ac:dyDescent="0.3"/>
  <cols>
    <col min="1" max="1" width="51.5546875" bestFit="1" customWidth="1"/>
    <col min="2" max="2" width="21.109375" customWidth="1"/>
    <col min="3" max="3" width="19.5546875" customWidth="1"/>
    <col min="5" max="5" width="14.5546875" customWidth="1"/>
    <col min="6" max="6" width="21.5546875" bestFit="1" customWidth="1"/>
    <col min="7" max="7" width="15" hidden="1" customWidth="1"/>
    <col min="8" max="8" width="14.44140625" bestFit="1" customWidth="1"/>
    <col min="10" max="10" width="21.5546875" customWidth="1"/>
  </cols>
  <sheetData>
    <row r="1" spans="1:13" ht="15" thickBot="1" x14ac:dyDescent="0.35">
      <c r="A1" s="303" t="s">
        <v>135</v>
      </c>
      <c r="B1" s="304"/>
      <c r="C1" s="304"/>
      <c r="F1" s="305" t="s">
        <v>60</v>
      </c>
      <c r="G1" s="306"/>
      <c r="H1" s="307"/>
      <c r="I1">
        <v>1</v>
      </c>
      <c r="J1" s="76" t="s">
        <v>418</v>
      </c>
    </row>
    <row r="2" spans="1:13" x14ac:dyDescent="0.3">
      <c r="I2">
        <v>2</v>
      </c>
      <c r="J2" s="229" t="s">
        <v>419</v>
      </c>
    </row>
    <row r="3" spans="1:13" ht="15.6" x14ac:dyDescent="0.3">
      <c r="B3" s="13" t="s">
        <v>56</v>
      </c>
      <c r="C3" s="13" t="s">
        <v>57</v>
      </c>
      <c r="G3" s="13" t="s">
        <v>56</v>
      </c>
      <c r="H3" s="13" t="s">
        <v>57</v>
      </c>
      <c r="I3">
        <v>3</v>
      </c>
      <c r="J3" s="76" t="s">
        <v>420</v>
      </c>
      <c r="K3" s="16"/>
    </row>
    <row r="4" spans="1:13" x14ac:dyDescent="0.3">
      <c r="F4" t="s">
        <v>46</v>
      </c>
      <c r="G4" s="8">
        <v>13574.38</v>
      </c>
      <c r="H4" s="9">
        <v>16481.55</v>
      </c>
      <c r="I4">
        <v>4</v>
      </c>
      <c r="J4" s="76" t="s">
        <v>421</v>
      </c>
    </row>
    <row r="5" spans="1:13" x14ac:dyDescent="0.3">
      <c r="A5" s="1" t="s">
        <v>58</v>
      </c>
      <c r="B5" s="308">
        <f>+H4</f>
        <v>16481.55</v>
      </c>
      <c r="C5" s="308"/>
      <c r="F5" t="s">
        <v>55</v>
      </c>
      <c r="G5" s="8">
        <v>2835</v>
      </c>
      <c r="H5" s="8">
        <f>+H29*7</f>
        <v>3217.6200000000003</v>
      </c>
      <c r="I5">
        <v>5</v>
      </c>
      <c r="J5" s="76" t="s">
        <v>422</v>
      </c>
    </row>
    <row r="6" spans="1:13" ht="15.6" x14ac:dyDescent="0.3">
      <c r="A6" s="1" t="s">
        <v>65</v>
      </c>
      <c r="B6" s="4"/>
      <c r="C6" s="26">
        <v>7</v>
      </c>
      <c r="F6" s="10" t="s">
        <v>47</v>
      </c>
      <c r="G6" s="11">
        <f>SUM(G4:G5)</f>
        <v>16409.379999999997</v>
      </c>
      <c r="H6" s="11">
        <f>SUM(H4:H5)</f>
        <v>19699.169999999998</v>
      </c>
      <c r="I6">
        <v>6</v>
      </c>
      <c r="J6" s="76" t="s">
        <v>423</v>
      </c>
      <c r="K6" s="174"/>
      <c r="L6" s="174"/>
    </row>
    <row r="7" spans="1:13" x14ac:dyDescent="0.3">
      <c r="A7" s="1" t="s">
        <v>59</v>
      </c>
      <c r="B7" s="15">
        <f>+$G$29*B6</f>
        <v>0</v>
      </c>
      <c r="C7" s="15">
        <f>+H5</f>
        <v>3217.6200000000003</v>
      </c>
      <c r="I7">
        <v>7</v>
      </c>
      <c r="J7" s="76" t="s">
        <v>424</v>
      </c>
      <c r="K7" s="169"/>
    </row>
    <row r="8" spans="1:13" x14ac:dyDescent="0.3">
      <c r="F8" t="s">
        <v>48</v>
      </c>
      <c r="G8" s="9">
        <v>2900</v>
      </c>
      <c r="H8" s="9">
        <v>2610</v>
      </c>
      <c r="I8">
        <v>8</v>
      </c>
      <c r="J8" s="133" t="s">
        <v>425</v>
      </c>
      <c r="K8" s="169"/>
    </row>
    <row r="9" spans="1:13" x14ac:dyDescent="0.3">
      <c r="A9" s="1" t="s">
        <v>63</v>
      </c>
      <c r="B9" s="4">
        <v>0</v>
      </c>
      <c r="C9" s="4">
        <v>5</v>
      </c>
      <c r="D9" s="24">
        <f>+C6+C9</f>
        <v>12</v>
      </c>
      <c r="F9" t="s">
        <v>54</v>
      </c>
      <c r="G9" s="12">
        <v>405</v>
      </c>
      <c r="H9" s="12">
        <f>+H29</f>
        <v>459.66</v>
      </c>
      <c r="I9">
        <v>9</v>
      </c>
      <c r="J9" s="76" t="s">
        <v>426</v>
      </c>
    </row>
    <row r="10" spans="1:13" ht="15.6" x14ac:dyDescent="0.3">
      <c r="A10" s="1" t="s">
        <v>62</v>
      </c>
      <c r="B10" s="15">
        <f>+$G$30*B9</f>
        <v>0</v>
      </c>
      <c r="C10" s="15">
        <f>+$H$30*C9</f>
        <v>13050</v>
      </c>
      <c r="F10" s="10" t="s">
        <v>49</v>
      </c>
      <c r="G10" s="11">
        <f>+$G$6+G8+G9</f>
        <v>19714.379999999997</v>
      </c>
      <c r="H10" s="11">
        <f>+$H$6+H8+H9</f>
        <v>22768.829999999998</v>
      </c>
      <c r="I10">
        <v>10</v>
      </c>
      <c r="J10" s="76" t="s">
        <v>427</v>
      </c>
      <c r="K10" s="172"/>
    </row>
    <row r="11" spans="1:13" x14ac:dyDescent="0.3">
      <c r="A11" s="1" t="s">
        <v>67</v>
      </c>
      <c r="B11" s="15">
        <f>+$G$29*B9</f>
        <v>0</v>
      </c>
      <c r="C11" s="15">
        <f>+$H$29*C9</f>
        <v>2298.3000000000002</v>
      </c>
      <c r="I11">
        <v>11</v>
      </c>
      <c r="J11" s="76" t="s">
        <v>428</v>
      </c>
      <c r="K11" s="175"/>
    </row>
    <row r="12" spans="1:13" x14ac:dyDescent="0.3">
      <c r="F12" t="s">
        <v>50</v>
      </c>
      <c r="G12" s="9">
        <v>5800</v>
      </c>
      <c r="H12" s="9">
        <v>5220</v>
      </c>
      <c r="I12">
        <v>12</v>
      </c>
      <c r="J12" s="76" t="s">
        <v>337</v>
      </c>
      <c r="K12" s="218"/>
      <c r="M12" s="70" t="s">
        <v>169</v>
      </c>
    </row>
    <row r="13" spans="1:13" x14ac:dyDescent="0.3">
      <c r="D13" s="18"/>
      <c r="F13" t="s">
        <v>54</v>
      </c>
      <c r="G13" s="12">
        <v>810</v>
      </c>
      <c r="H13" s="12">
        <f>+H29*2</f>
        <v>919.32</v>
      </c>
      <c r="J13" s="233">
        <f>12*150</f>
        <v>1800</v>
      </c>
      <c r="M13" s="70" t="s">
        <v>170</v>
      </c>
    </row>
    <row r="14" spans="1:13" ht="15.6" x14ac:dyDescent="0.3">
      <c r="F14" s="10" t="s">
        <v>49</v>
      </c>
      <c r="G14" s="11">
        <f>+$G$6+G12+G13</f>
        <v>23019.379999999997</v>
      </c>
      <c r="H14" s="11">
        <f>+$H$6+H12+H13</f>
        <v>25838.489999999998</v>
      </c>
      <c r="J14" s="198"/>
    </row>
    <row r="15" spans="1:13" x14ac:dyDescent="0.3">
      <c r="A15" s="1" t="s">
        <v>68</v>
      </c>
      <c r="B15" s="15">
        <f>+B10+C10</f>
        <v>13050</v>
      </c>
      <c r="C15" s="20"/>
      <c r="D15" s="14"/>
      <c r="J15" s="166"/>
    </row>
    <row r="16" spans="1:13" x14ac:dyDescent="0.3">
      <c r="A16" s="80" t="s">
        <v>66</v>
      </c>
      <c r="B16" s="81">
        <f>B7+C7+B11+C11</f>
        <v>5515.92</v>
      </c>
      <c r="C16" s="21"/>
      <c r="D16" s="17"/>
      <c r="F16" t="s">
        <v>51</v>
      </c>
      <c r="G16" s="9">
        <v>8700</v>
      </c>
      <c r="H16" s="9">
        <v>7830</v>
      </c>
      <c r="J16" s="166" t="s">
        <v>212</v>
      </c>
    </row>
    <row r="17" spans="1:17" x14ac:dyDescent="0.3">
      <c r="F17" t="s">
        <v>54</v>
      </c>
      <c r="G17" s="12">
        <v>1215</v>
      </c>
      <c r="H17" s="12">
        <f>+H29*3</f>
        <v>1378.98</v>
      </c>
      <c r="J17" s="153" t="s">
        <v>222</v>
      </c>
      <c r="K17" s="226">
        <v>1400</v>
      </c>
    </row>
    <row r="18" spans="1:17" ht="15.6" x14ac:dyDescent="0.3">
      <c r="A18" s="1" t="s">
        <v>69</v>
      </c>
      <c r="B18" s="248">
        <v>5600</v>
      </c>
      <c r="C18" t="s">
        <v>178</v>
      </c>
      <c r="F18" s="10" t="s">
        <v>49</v>
      </c>
      <c r="G18" s="11">
        <f>+$G$6+G16+G17</f>
        <v>26324.379999999997</v>
      </c>
      <c r="H18" s="11">
        <f>+$H$6+H16+H17</f>
        <v>28908.149999999998</v>
      </c>
      <c r="J18" s="102" t="s">
        <v>223</v>
      </c>
      <c r="K18" s="226">
        <v>1400</v>
      </c>
    </row>
    <row r="19" spans="1:17" ht="15" thickBot="1" x14ac:dyDescent="0.35">
      <c r="A19" s="1"/>
      <c r="B19" s="1"/>
      <c r="C19" s="18"/>
      <c r="J19" s="102" t="s">
        <v>224</v>
      </c>
      <c r="K19" s="107">
        <v>1400</v>
      </c>
    </row>
    <row r="20" spans="1:17" ht="15" thickBot="1" x14ac:dyDescent="0.35">
      <c r="A20" s="146" t="s">
        <v>163</v>
      </c>
      <c r="B20" s="148">
        <f>D9*150</f>
        <v>1800</v>
      </c>
      <c r="C20" s="17" t="s">
        <v>165</v>
      </c>
      <c r="F20" t="s">
        <v>52</v>
      </c>
      <c r="G20" s="9">
        <v>11600</v>
      </c>
      <c r="H20" s="9">
        <v>10440</v>
      </c>
      <c r="J20" s="102" t="s">
        <v>226</v>
      </c>
      <c r="K20" s="226">
        <v>1400</v>
      </c>
    </row>
    <row r="21" spans="1:17" x14ac:dyDescent="0.3">
      <c r="A21" s="144"/>
      <c r="B21" s="145"/>
      <c r="C21" t="s">
        <v>178</v>
      </c>
      <c r="F21" t="s">
        <v>54</v>
      </c>
      <c r="G21" s="12">
        <v>1620</v>
      </c>
      <c r="H21" s="12">
        <f>+H29*4</f>
        <v>1838.64</v>
      </c>
      <c r="J21" s="166"/>
      <c r="K21">
        <f>SUM(K17:K20)</f>
        <v>5600</v>
      </c>
    </row>
    <row r="22" spans="1:17" ht="15.6" x14ac:dyDescent="0.3">
      <c r="A22" s="140"/>
      <c r="B22" s="141"/>
      <c r="F22" s="10" t="s">
        <v>49</v>
      </c>
      <c r="G22" s="11">
        <f>+$G$6+G20+G21</f>
        <v>29629.379999999997</v>
      </c>
      <c r="H22" s="11">
        <f>+$H$6+H20+H21</f>
        <v>31977.809999999998</v>
      </c>
      <c r="J22" s="267" t="s">
        <v>265</v>
      </c>
      <c r="K22" s="247"/>
      <c r="L22" s="247"/>
      <c r="M22" s="247"/>
      <c r="N22" s="247"/>
      <c r="O22" s="247"/>
      <c r="P22" s="247"/>
      <c r="Q22" s="247"/>
    </row>
    <row r="23" spans="1:17" x14ac:dyDescent="0.3">
      <c r="A23" s="140"/>
      <c r="B23" s="141"/>
      <c r="C23" s="14"/>
      <c r="J23" s="261" t="s">
        <v>279</v>
      </c>
      <c r="K23" s="261">
        <v>48</v>
      </c>
      <c r="L23" s="261" t="s">
        <v>257</v>
      </c>
      <c r="M23" s="261">
        <v>37.76</v>
      </c>
      <c r="N23" s="262" t="s">
        <v>287</v>
      </c>
      <c r="O23" s="261" t="s">
        <v>288</v>
      </c>
      <c r="P23" s="261" t="s">
        <v>261</v>
      </c>
      <c r="Q23" s="24">
        <v>200</v>
      </c>
    </row>
    <row r="24" spans="1:17" ht="15" thickBot="1" x14ac:dyDescent="0.35">
      <c r="A24" s="142"/>
      <c r="B24" s="143"/>
      <c r="C24" s="88"/>
      <c r="F24" t="s">
        <v>53</v>
      </c>
      <c r="G24" s="9">
        <v>14500</v>
      </c>
      <c r="H24" s="9">
        <v>13050</v>
      </c>
      <c r="J24" s="193"/>
    </row>
    <row r="25" spans="1:17" ht="15" thickBot="1" x14ac:dyDescent="0.35">
      <c r="C25" s="90"/>
      <c r="F25" t="s">
        <v>54</v>
      </c>
      <c r="G25" s="12">
        <v>2025</v>
      </c>
      <c r="H25" s="12">
        <f>+H29*5</f>
        <v>2298.3000000000002</v>
      </c>
      <c r="J25" s="193"/>
    </row>
    <row r="26" spans="1:17" ht="16.2" thickBot="1" x14ac:dyDescent="0.35">
      <c r="A26" s="146" t="s">
        <v>164</v>
      </c>
      <c r="B26" s="147">
        <f>SUM(B27:B30)</f>
        <v>200</v>
      </c>
      <c r="C26" s="17" t="s">
        <v>165</v>
      </c>
      <c r="F26" s="10" t="s">
        <v>49</v>
      </c>
      <c r="G26" s="11">
        <f>+$G$6+G24+G25</f>
        <v>32934.379999999997</v>
      </c>
      <c r="H26" s="11">
        <f>+$H$6+H24+H25</f>
        <v>35047.47</v>
      </c>
    </row>
    <row r="27" spans="1:17" x14ac:dyDescent="0.3">
      <c r="A27" s="144" t="s">
        <v>167</v>
      </c>
      <c r="B27" s="145"/>
    </row>
    <row r="28" spans="1:17" x14ac:dyDescent="0.3">
      <c r="A28" s="140" t="s">
        <v>173</v>
      </c>
      <c r="B28" s="284">
        <v>200</v>
      </c>
      <c r="C28" t="s">
        <v>178</v>
      </c>
    </row>
    <row r="29" spans="1:17" x14ac:dyDescent="0.3">
      <c r="A29" s="140" t="s">
        <v>174</v>
      </c>
      <c r="B29" s="141"/>
      <c r="F29" t="s">
        <v>61</v>
      </c>
      <c r="G29" s="14">
        <v>405</v>
      </c>
      <c r="H29" s="14">
        <v>459.66</v>
      </c>
    </row>
    <row r="30" spans="1:17" ht="15" thickBot="1" x14ac:dyDescent="0.35">
      <c r="A30" s="142"/>
      <c r="B30" s="143"/>
      <c r="F30" t="s">
        <v>64</v>
      </c>
      <c r="G30" s="14">
        <v>2900</v>
      </c>
      <c r="H30" s="14">
        <v>2610</v>
      </c>
    </row>
  </sheetData>
  <mergeCells count="3">
    <mergeCell ref="A1:C1"/>
    <mergeCell ref="F1:H1"/>
    <mergeCell ref="B5:C5"/>
  </mergeCells>
  <pageMargins left="0.7" right="0.7" top="0.75" bottom="0.75" header="0.3" footer="0.3"/>
  <pageSetup paperSize="9" orientation="portrait" horizontalDpi="4294967293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1F157-B5A5-44D2-B4CD-0779C1DF2D35}">
  <sheetPr>
    <tabColor rgb="FFFFFF00"/>
  </sheetPr>
  <dimension ref="A1:Q43"/>
  <sheetViews>
    <sheetView zoomScale="90" zoomScaleNormal="90" workbookViewId="0">
      <selection activeCell="B20" sqref="B20"/>
    </sheetView>
  </sheetViews>
  <sheetFormatPr defaultColWidth="9.109375" defaultRowHeight="14.4" x14ac:dyDescent="0.3"/>
  <cols>
    <col min="1" max="1" width="46.88671875" bestFit="1" customWidth="1"/>
    <col min="2" max="2" width="17.33203125" customWidth="1"/>
    <col min="3" max="3" width="18.44140625" bestFit="1" customWidth="1"/>
    <col min="4" max="4" width="15.44140625" customWidth="1"/>
    <col min="5" max="5" width="11.5546875" customWidth="1"/>
    <col min="6" max="6" width="21.5546875" bestFit="1" customWidth="1"/>
    <col min="7" max="7" width="15" hidden="1" customWidth="1"/>
    <col min="8" max="8" width="14.44140625" bestFit="1" customWidth="1"/>
    <col min="10" max="10" width="21.88671875" customWidth="1"/>
  </cols>
  <sheetData>
    <row r="1" spans="1:14" ht="15" thickBot="1" x14ac:dyDescent="0.35">
      <c r="A1" s="303" t="s">
        <v>82</v>
      </c>
      <c r="B1" s="304"/>
      <c r="C1" s="304"/>
      <c r="F1" s="305" t="s">
        <v>60</v>
      </c>
      <c r="G1" s="306"/>
      <c r="H1" s="307"/>
      <c r="I1">
        <v>1</v>
      </c>
      <c r="J1" s="76" t="s">
        <v>429</v>
      </c>
    </row>
    <row r="2" spans="1:14" x14ac:dyDescent="0.3">
      <c r="I2">
        <v>2</v>
      </c>
      <c r="J2" s="76" t="s">
        <v>430</v>
      </c>
    </row>
    <row r="3" spans="1:14" ht="15.6" x14ac:dyDescent="0.3">
      <c r="B3" s="13" t="s">
        <v>56</v>
      </c>
      <c r="C3" s="13" t="s">
        <v>57</v>
      </c>
      <c r="G3" s="13" t="s">
        <v>56</v>
      </c>
      <c r="H3" s="13" t="s">
        <v>57</v>
      </c>
      <c r="I3">
        <v>3</v>
      </c>
      <c r="J3" s="76" t="s">
        <v>431</v>
      </c>
      <c r="K3" s="16"/>
    </row>
    <row r="4" spans="1:14" x14ac:dyDescent="0.3">
      <c r="F4" t="s">
        <v>46</v>
      </c>
      <c r="G4" s="8">
        <v>13574.38</v>
      </c>
      <c r="H4" s="9">
        <v>16481.55</v>
      </c>
      <c r="I4">
        <v>4</v>
      </c>
      <c r="J4" s="76" t="s">
        <v>432</v>
      </c>
    </row>
    <row r="5" spans="1:14" x14ac:dyDescent="0.3">
      <c r="A5" s="1" t="s">
        <v>58</v>
      </c>
      <c r="B5" s="308">
        <f>+H4</f>
        <v>16481.55</v>
      </c>
      <c r="C5" s="308"/>
      <c r="F5" t="s">
        <v>55</v>
      </c>
      <c r="G5" s="8">
        <v>2835</v>
      </c>
      <c r="H5" s="8">
        <f>+H29*7</f>
        <v>3217.6200000000003</v>
      </c>
      <c r="I5">
        <v>5</v>
      </c>
      <c r="J5" s="76" t="s">
        <v>433</v>
      </c>
      <c r="K5" s="205"/>
      <c r="L5" s="205"/>
    </row>
    <row r="6" spans="1:14" ht="15.6" x14ac:dyDescent="0.3">
      <c r="A6" s="1" t="s">
        <v>65</v>
      </c>
      <c r="B6" s="4">
        <v>0</v>
      </c>
      <c r="C6" s="26">
        <v>7</v>
      </c>
      <c r="F6" s="10" t="s">
        <v>47</v>
      </c>
      <c r="G6" s="11">
        <f>SUM(G4:G5)</f>
        <v>16409.379999999997</v>
      </c>
      <c r="H6" s="11">
        <f>SUM(H4:H5)</f>
        <v>19699.169999999998</v>
      </c>
      <c r="I6">
        <v>6</v>
      </c>
      <c r="J6" s="110" t="s">
        <v>434</v>
      </c>
      <c r="K6" s="188"/>
      <c r="L6" s="188"/>
    </row>
    <row r="7" spans="1:14" x14ac:dyDescent="0.3">
      <c r="A7" s="1" t="s">
        <v>59</v>
      </c>
      <c r="B7" s="15">
        <f>+$G$29*B6</f>
        <v>0</v>
      </c>
      <c r="C7" s="15">
        <f>+H5</f>
        <v>3217.6200000000003</v>
      </c>
      <c r="I7">
        <v>7</v>
      </c>
      <c r="J7" s="76" t="s">
        <v>435</v>
      </c>
      <c r="K7" s="188"/>
      <c r="L7" s="188"/>
    </row>
    <row r="8" spans="1:14" x14ac:dyDescent="0.3">
      <c r="F8" t="s">
        <v>48</v>
      </c>
      <c r="G8" s="9">
        <v>2900</v>
      </c>
      <c r="H8" s="9">
        <v>2610</v>
      </c>
      <c r="I8">
        <v>8</v>
      </c>
      <c r="J8" s="76" t="s">
        <v>436</v>
      </c>
      <c r="K8" s="180"/>
      <c r="L8" s="182"/>
    </row>
    <row r="9" spans="1:14" x14ac:dyDescent="0.3">
      <c r="A9" s="1" t="s">
        <v>63</v>
      </c>
      <c r="B9" s="4">
        <v>0</v>
      </c>
      <c r="C9" s="4">
        <v>5</v>
      </c>
      <c r="D9" s="24">
        <f>+C6+C9</f>
        <v>12</v>
      </c>
      <c r="F9" t="s">
        <v>54</v>
      </c>
      <c r="G9" s="12">
        <v>405</v>
      </c>
      <c r="H9" s="12">
        <f>+H29</f>
        <v>459.66</v>
      </c>
      <c r="I9">
        <v>9</v>
      </c>
      <c r="J9" s="76" t="s">
        <v>437</v>
      </c>
      <c r="K9" s="180"/>
      <c r="L9" s="181"/>
    </row>
    <row r="10" spans="1:14" ht="15.6" x14ac:dyDescent="0.3">
      <c r="A10" s="1" t="s">
        <v>62</v>
      </c>
      <c r="B10" s="15">
        <f>+$G$30*B9</f>
        <v>0</v>
      </c>
      <c r="C10" s="15">
        <f>+$H$30*C9</f>
        <v>13050</v>
      </c>
      <c r="F10" s="10" t="s">
        <v>49</v>
      </c>
      <c r="G10" s="11">
        <f>+$G$6+G8+G9</f>
        <v>19714.379999999997</v>
      </c>
      <c r="H10" s="11">
        <f>+$H$6+H8+H9</f>
        <v>22768.829999999998</v>
      </c>
      <c r="I10">
        <v>10</v>
      </c>
      <c r="J10" s="76" t="s">
        <v>438</v>
      </c>
      <c r="K10" s="180"/>
      <c r="L10" s="180"/>
    </row>
    <row r="11" spans="1:14" x14ac:dyDescent="0.3">
      <c r="A11" s="1" t="s">
        <v>67</v>
      </c>
      <c r="B11" s="15">
        <f>+$G$29*B9</f>
        <v>0</v>
      </c>
      <c r="C11" s="15">
        <f>+$H$29*C9</f>
        <v>2298.3000000000002</v>
      </c>
      <c r="I11">
        <v>11</v>
      </c>
      <c r="J11" s="65" t="s">
        <v>337</v>
      </c>
      <c r="K11" s="180"/>
      <c r="L11" s="216"/>
      <c r="N11" s="70" t="s">
        <v>169</v>
      </c>
    </row>
    <row r="12" spans="1:14" x14ac:dyDescent="0.3">
      <c r="F12" t="s">
        <v>50</v>
      </c>
      <c r="G12" s="9">
        <v>5800</v>
      </c>
      <c r="H12" s="9">
        <v>5220</v>
      </c>
      <c r="I12">
        <v>12</v>
      </c>
      <c r="J12" s="76" t="s">
        <v>337</v>
      </c>
      <c r="K12" s="180"/>
      <c r="L12" s="184"/>
      <c r="N12" s="70" t="s">
        <v>170</v>
      </c>
    </row>
    <row r="13" spans="1:14" x14ac:dyDescent="0.3">
      <c r="C13" s="14"/>
      <c r="F13" t="s">
        <v>54</v>
      </c>
      <c r="G13" s="12">
        <v>810</v>
      </c>
      <c r="H13" s="12">
        <f>+H29*2</f>
        <v>919.32</v>
      </c>
      <c r="J13" s="217">
        <f>12*150</f>
        <v>1800</v>
      </c>
      <c r="K13" s="120" t="s">
        <v>342</v>
      </c>
      <c r="L13" s="120"/>
    </row>
    <row r="14" spans="1:14" ht="15.6" x14ac:dyDescent="0.3">
      <c r="F14" s="10" t="s">
        <v>49</v>
      </c>
      <c r="G14" s="11">
        <f>+$G$6+G12+G13</f>
        <v>23019.379999999997</v>
      </c>
      <c r="H14" s="11">
        <f>+$H$6+H12+H13</f>
        <v>25838.489999999998</v>
      </c>
      <c r="J14" s="185"/>
    </row>
    <row r="15" spans="1:14" x14ac:dyDescent="0.3">
      <c r="A15" s="1" t="s">
        <v>68</v>
      </c>
      <c r="B15" s="15">
        <f>+B10+C10</f>
        <v>13050</v>
      </c>
      <c r="J15" s="185"/>
    </row>
    <row r="16" spans="1:14" x14ac:dyDescent="0.3">
      <c r="A16" s="80" t="s">
        <v>66</v>
      </c>
      <c r="B16" s="81">
        <f>B7+C7+B11+C11</f>
        <v>5515.92</v>
      </c>
      <c r="C16" s="20"/>
      <c r="D16" s="20"/>
      <c r="F16" t="s">
        <v>51</v>
      </c>
      <c r="G16" s="9">
        <v>8700</v>
      </c>
      <c r="H16" s="9">
        <v>7830</v>
      </c>
      <c r="J16" s="185" t="s">
        <v>177</v>
      </c>
    </row>
    <row r="17" spans="1:17" x14ac:dyDescent="0.3">
      <c r="C17" s="14"/>
      <c r="D17" s="14"/>
      <c r="F17" t="s">
        <v>54</v>
      </c>
      <c r="G17" s="12">
        <v>1215</v>
      </c>
      <c r="H17" s="12">
        <f>+H29*3</f>
        <v>1378.98</v>
      </c>
      <c r="J17" s="153" t="s">
        <v>227</v>
      </c>
      <c r="K17" s="226">
        <v>1400</v>
      </c>
    </row>
    <row r="18" spans="1:17" ht="15.6" x14ac:dyDescent="0.3">
      <c r="A18" s="1" t="s">
        <v>69</v>
      </c>
      <c r="B18" s="248">
        <v>5600</v>
      </c>
      <c r="C18" t="s">
        <v>178</v>
      </c>
      <c r="F18" s="10" t="s">
        <v>49</v>
      </c>
      <c r="G18" s="11">
        <f>+$G$6+G16+G17</f>
        <v>26324.379999999997</v>
      </c>
      <c r="H18" s="11">
        <f>+$H$6+H16+H17</f>
        <v>28908.149999999998</v>
      </c>
      <c r="J18" s="102" t="s">
        <v>223</v>
      </c>
      <c r="K18" s="226">
        <v>1400</v>
      </c>
    </row>
    <row r="19" spans="1:17" ht="15" thickBot="1" x14ac:dyDescent="0.35">
      <c r="J19" s="102" t="s">
        <v>224</v>
      </c>
      <c r="K19" s="107">
        <v>1400</v>
      </c>
    </row>
    <row r="20" spans="1:17" ht="15" thickBot="1" x14ac:dyDescent="0.35">
      <c r="A20" s="146" t="s">
        <v>163</v>
      </c>
      <c r="B20" s="148">
        <f>D9*150</f>
        <v>1800</v>
      </c>
      <c r="C20" s="17" t="s">
        <v>165</v>
      </c>
      <c r="F20" t="s">
        <v>52</v>
      </c>
      <c r="G20" s="9">
        <v>11600</v>
      </c>
      <c r="H20" s="9">
        <v>10440</v>
      </c>
      <c r="J20" s="102" t="s">
        <v>228</v>
      </c>
      <c r="K20" s="226">
        <v>1400</v>
      </c>
    </row>
    <row r="21" spans="1:17" x14ac:dyDescent="0.3">
      <c r="A21" s="144"/>
      <c r="B21" s="145"/>
      <c r="C21" t="s">
        <v>178</v>
      </c>
      <c r="F21" t="s">
        <v>54</v>
      </c>
      <c r="G21" s="12">
        <v>1620</v>
      </c>
      <c r="H21" s="12">
        <f>+H29*4</f>
        <v>1838.64</v>
      </c>
      <c r="J21" s="102"/>
      <c r="K21" s="102">
        <f>SUM(K17:K20)</f>
        <v>5600</v>
      </c>
    </row>
    <row r="22" spans="1:17" ht="15.6" x14ac:dyDescent="0.3">
      <c r="A22" s="140"/>
      <c r="B22" s="141"/>
      <c r="F22" s="10" t="s">
        <v>49</v>
      </c>
      <c r="G22" s="11">
        <f>+$G$6+G20+G21</f>
        <v>29629.379999999997</v>
      </c>
      <c r="H22" s="11">
        <f>+$H$6+H20+H21</f>
        <v>31977.809999999998</v>
      </c>
      <c r="J22" s="166"/>
    </row>
    <row r="23" spans="1:17" x14ac:dyDescent="0.3">
      <c r="A23" s="140"/>
      <c r="B23" s="141"/>
      <c r="C23" s="14"/>
      <c r="J23" s="267" t="s">
        <v>302</v>
      </c>
      <c r="K23" s="247"/>
      <c r="L23" s="247"/>
      <c r="M23" s="247"/>
      <c r="N23" s="247"/>
      <c r="O23" s="247"/>
      <c r="P23" s="247"/>
      <c r="Q23" s="247"/>
    </row>
    <row r="24" spans="1:17" ht="15" thickBot="1" x14ac:dyDescent="0.35">
      <c r="A24" s="142"/>
      <c r="B24" s="143"/>
      <c r="C24" s="88"/>
      <c r="F24" t="s">
        <v>53</v>
      </c>
      <c r="G24" s="9">
        <v>14500</v>
      </c>
      <c r="H24" s="9">
        <v>13050</v>
      </c>
      <c r="J24" s="261" t="s">
        <v>299</v>
      </c>
      <c r="K24" s="265"/>
      <c r="L24" s="261" t="s">
        <v>257</v>
      </c>
      <c r="M24" s="261">
        <v>39.08</v>
      </c>
      <c r="N24" s="266" t="s">
        <v>300</v>
      </c>
      <c r="O24" s="265" t="s">
        <v>301</v>
      </c>
      <c r="P24" s="261" t="s">
        <v>261</v>
      </c>
      <c r="Q24" s="24">
        <v>200</v>
      </c>
    </row>
    <row r="25" spans="1:17" ht="15" thickBot="1" x14ac:dyDescent="0.35">
      <c r="C25" s="90"/>
      <c r="F25" t="s">
        <v>54</v>
      </c>
      <c r="G25" s="12">
        <v>2025</v>
      </c>
      <c r="H25" s="12">
        <f>+H29*5</f>
        <v>2298.3000000000002</v>
      </c>
      <c r="J25" s="171"/>
    </row>
    <row r="26" spans="1:17" ht="16.2" thickBot="1" x14ac:dyDescent="0.35">
      <c r="A26" s="146" t="s">
        <v>164</v>
      </c>
      <c r="B26" s="147">
        <f>SUM(B27:B30)</f>
        <v>200</v>
      </c>
      <c r="C26" s="17" t="s">
        <v>165</v>
      </c>
      <c r="F26" s="10" t="s">
        <v>49</v>
      </c>
      <c r="G26" s="11">
        <f>+$G$6+G24+G25</f>
        <v>32934.379999999997</v>
      </c>
      <c r="H26" s="11">
        <f>+$H$6+H24+H25</f>
        <v>35047.47</v>
      </c>
    </row>
    <row r="27" spans="1:17" x14ac:dyDescent="0.3">
      <c r="A27" s="144" t="s">
        <v>167</v>
      </c>
      <c r="B27" s="145"/>
    </row>
    <row r="28" spans="1:17" x14ac:dyDescent="0.3">
      <c r="A28" s="140" t="s">
        <v>255</v>
      </c>
      <c r="B28" s="284">
        <v>200</v>
      </c>
      <c r="C28" t="s">
        <v>178</v>
      </c>
    </row>
    <row r="29" spans="1:17" x14ac:dyDescent="0.3">
      <c r="A29" s="140"/>
      <c r="B29" s="141"/>
      <c r="F29" t="s">
        <v>61</v>
      </c>
      <c r="G29" s="14">
        <v>405</v>
      </c>
      <c r="H29" s="14">
        <v>459.66</v>
      </c>
    </row>
    <row r="30" spans="1:17" ht="15" thickBot="1" x14ac:dyDescent="0.35">
      <c r="A30" s="142"/>
      <c r="B30" s="143"/>
      <c r="F30" t="s">
        <v>64</v>
      </c>
      <c r="G30" s="14">
        <v>2900</v>
      </c>
      <c r="H30" s="14">
        <v>2610</v>
      </c>
    </row>
    <row r="31" spans="1:17" x14ac:dyDescent="0.3">
      <c r="A31" s="18"/>
      <c r="B31" s="158"/>
    </row>
    <row r="32" spans="1:17" x14ac:dyDescent="0.3">
      <c r="A32" s="17"/>
    </row>
    <row r="33" spans="1:1" x14ac:dyDescent="0.3">
      <c r="A33" s="17"/>
    </row>
    <row r="34" spans="1:1" x14ac:dyDescent="0.3">
      <c r="A34" s="17"/>
    </row>
    <row r="35" spans="1:1" x14ac:dyDescent="0.3">
      <c r="A35" s="17"/>
    </row>
    <row r="36" spans="1:1" x14ac:dyDescent="0.3">
      <c r="A36" s="17"/>
    </row>
    <row r="37" spans="1:1" x14ac:dyDescent="0.3">
      <c r="A37" s="17"/>
    </row>
    <row r="43" spans="1:1" x14ac:dyDescent="0.3">
      <c r="A43" s="18"/>
    </row>
  </sheetData>
  <mergeCells count="3">
    <mergeCell ref="A1:C1"/>
    <mergeCell ref="F1:H1"/>
    <mergeCell ref="B5:C5"/>
  </mergeCells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4E65-E879-404F-805F-B1B986CBB880}">
  <sheetPr>
    <tabColor rgb="FFFFFF00"/>
  </sheetPr>
  <dimension ref="A1:Q47"/>
  <sheetViews>
    <sheetView zoomScale="90" zoomScaleNormal="90" workbookViewId="0">
      <selection activeCell="B20" sqref="B20"/>
    </sheetView>
  </sheetViews>
  <sheetFormatPr defaultColWidth="9.109375" defaultRowHeight="14.4" x14ac:dyDescent="0.3"/>
  <cols>
    <col min="1" max="1" width="41.109375" customWidth="1"/>
    <col min="2" max="2" width="14.5546875" customWidth="1"/>
    <col min="3" max="3" width="17.5546875" customWidth="1"/>
    <col min="4" max="4" width="10.109375" bestFit="1" customWidth="1"/>
    <col min="6" max="6" width="21.5546875" bestFit="1" customWidth="1"/>
    <col min="7" max="7" width="15" hidden="1" customWidth="1"/>
    <col min="8" max="8" width="14.44140625" bestFit="1" customWidth="1"/>
    <col min="10" max="10" width="20.6640625" customWidth="1"/>
    <col min="11" max="11" width="10.44140625" customWidth="1"/>
  </cols>
  <sheetData>
    <row r="1" spans="1:15" ht="15" thickBot="1" x14ac:dyDescent="0.35">
      <c r="A1" s="303" t="s">
        <v>107</v>
      </c>
      <c r="B1" s="304"/>
      <c r="C1" s="304"/>
      <c r="F1" s="305" t="s">
        <v>60</v>
      </c>
      <c r="G1" s="306"/>
      <c r="H1" s="307"/>
      <c r="I1">
        <v>1</v>
      </c>
      <c r="J1" s="102" t="s">
        <v>439</v>
      </c>
    </row>
    <row r="2" spans="1:15" x14ac:dyDescent="0.3">
      <c r="I2">
        <v>2</v>
      </c>
      <c r="J2" s="102" t="s">
        <v>440</v>
      </c>
    </row>
    <row r="3" spans="1:15" ht="15.6" x14ac:dyDescent="0.3">
      <c r="B3" s="13" t="s">
        <v>56</v>
      </c>
      <c r="C3" s="13" t="s">
        <v>57</v>
      </c>
      <c r="G3" s="13" t="s">
        <v>56</v>
      </c>
      <c r="H3" s="13" t="s">
        <v>57</v>
      </c>
      <c r="I3">
        <v>3</v>
      </c>
      <c r="J3" s="102" t="s">
        <v>441</v>
      </c>
      <c r="K3" s="16"/>
    </row>
    <row r="4" spans="1:15" x14ac:dyDescent="0.3">
      <c r="F4" t="s">
        <v>46</v>
      </c>
      <c r="G4" s="8">
        <v>13574.38</v>
      </c>
      <c r="H4" s="9">
        <v>16481.55</v>
      </c>
      <c r="I4">
        <v>4</v>
      </c>
      <c r="J4" s="107" t="s">
        <v>442</v>
      </c>
    </row>
    <row r="5" spans="1:15" x14ac:dyDescent="0.3">
      <c r="A5" s="1" t="s">
        <v>58</v>
      </c>
      <c r="B5" s="308">
        <f>+H4</f>
        <v>16481.55</v>
      </c>
      <c r="C5" s="308"/>
      <c r="F5" t="s">
        <v>55</v>
      </c>
      <c r="G5" s="8">
        <v>2835</v>
      </c>
      <c r="H5" s="8">
        <f>+H29*7</f>
        <v>3217.6200000000003</v>
      </c>
      <c r="I5">
        <v>5</v>
      </c>
      <c r="J5" s="107" t="s">
        <v>443</v>
      </c>
      <c r="K5" s="205"/>
      <c r="L5" s="205"/>
      <c r="M5" s="179"/>
    </row>
    <row r="6" spans="1:15" ht="15.6" x14ac:dyDescent="0.3">
      <c r="A6" s="1" t="s">
        <v>65</v>
      </c>
      <c r="B6" s="4">
        <v>0</v>
      </c>
      <c r="C6" s="26">
        <v>7</v>
      </c>
      <c r="F6" s="10" t="s">
        <v>47</v>
      </c>
      <c r="G6" s="11">
        <f>SUM(G4:G5)</f>
        <v>16409.379999999997</v>
      </c>
      <c r="H6" s="11">
        <f>SUM(H4:H5)</f>
        <v>19699.169999999998</v>
      </c>
      <c r="I6">
        <v>6</v>
      </c>
      <c r="J6" s="107" t="s">
        <v>444</v>
      </c>
      <c r="K6" s="212"/>
    </row>
    <row r="7" spans="1:15" x14ac:dyDescent="0.3">
      <c r="A7" s="1" t="s">
        <v>59</v>
      </c>
      <c r="B7" s="15">
        <f>+$G$29*B6</f>
        <v>0</v>
      </c>
      <c r="C7" s="15">
        <f>+H5</f>
        <v>3217.6200000000003</v>
      </c>
      <c r="I7">
        <v>7</v>
      </c>
      <c r="J7" s="107" t="s">
        <v>445</v>
      </c>
      <c r="K7" s="213"/>
    </row>
    <row r="8" spans="1:15" x14ac:dyDescent="0.3">
      <c r="F8" t="s">
        <v>48</v>
      </c>
      <c r="G8" s="9">
        <v>2900</v>
      </c>
      <c r="H8" s="9">
        <v>2610</v>
      </c>
      <c r="I8">
        <v>8</v>
      </c>
      <c r="J8" s="102" t="s">
        <v>446</v>
      </c>
      <c r="K8" s="213"/>
    </row>
    <row r="9" spans="1:15" x14ac:dyDescent="0.3">
      <c r="A9" s="1" t="s">
        <v>63</v>
      </c>
      <c r="B9" s="4">
        <v>0</v>
      </c>
      <c r="C9" s="4">
        <v>5</v>
      </c>
      <c r="D9" s="24">
        <f>+C6+C9</f>
        <v>12</v>
      </c>
      <c r="F9" t="s">
        <v>54</v>
      </c>
      <c r="G9" s="12">
        <v>405</v>
      </c>
      <c r="H9" s="12">
        <f>+H29</f>
        <v>459.66</v>
      </c>
      <c r="I9">
        <v>9</v>
      </c>
      <c r="J9" s="102" t="s">
        <v>447</v>
      </c>
      <c r="K9" s="212"/>
    </row>
    <row r="10" spans="1:15" ht="15.6" x14ac:dyDescent="0.3">
      <c r="A10" s="1" t="s">
        <v>62</v>
      </c>
      <c r="B10" s="15">
        <f>+$G$30*B9</f>
        <v>0</v>
      </c>
      <c r="C10" s="15">
        <f>+$H$30*C9</f>
        <v>13050</v>
      </c>
      <c r="D10" s="18"/>
      <c r="F10" s="10" t="s">
        <v>49</v>
      </c>
      <c r="G10" s="11">
        <f>+$G$6+G8+G9</f>
        <v>19714.379999999997</v>
      </c>
      <c r="H10" s="11">
        <f>+$H$6+H8+H9</f>
        <v>22768.829999999998</v>
      </c>
      <c r="I10">
        <v>10</v>
      </c>
      <c r="J10" s="102" t="s">
        <v>448</v>
      </c>
      <c r="K10" s="214"/>
    </row>
    <row r="11" spans="1:15" x14ac:dyDescent="0.3">
      <c r="A11" s="1" t="s">
        <v>67</v>
      </c>
      <c r="B11" s="15">
        <f>+$G$29*B9</f>
        <v>0</v>
      </c>
      <c r="C11" s="15">
        <f>+$H$29*C9</f>
        <v>2298.3000000000002</v>
      </c>
      <c r="I11">
        <v>11</v>
      </c>
      <c r="J11" s="107" t="s">
        <v>337</v>
      </c>
      <c r="K11" s="215"/>
      <c r="O11" s="70" t="s">
        <v>169</v>
      </c>
    </row>
    <row r="12" spans="1:15" x14ac:dyDescent="0.3">
      <c r="B12" s="18"/>
      <c r="C12" s="18"/>
      <c r="D12" s="18"/>
      <c r="F12" t="s">
        <v>50</v>
      </c>
      <c r="G12" s="9">
        <v>5800</v>
      </c>
      <c r="H12" s="9">
        <v>5220</v>
      </c>
      <c r="I12">
        <v>12</v>
      </c>
      <c r="J12" s="107" t="s">
        <v>337</v>
      </c>
      <c r="O12" s="70" t="s">
        <v>170</v>
      </c>
    </row>
    <row r="13" spans="1:15" x14ac:dyDescent="0.3">
      <c r="B13" s="18"/>
      <c r="C13" s="18"/>
      <c r="D13" s="18"/>
      <c r="F13" t="s">
        <v>54</v>
      </c>
      <c r="G13" s="12">
        <v>810</v>
      </c>
      <c r="H13" s="12">
        <f>+H29*2</f>
        <v>919.32</v>
      </c>
      <c r="J13" s="157">
        <f>12*150</f>
        <v>1800</v>
      </c>
    </row>
    <row r="14" spans="1:15" ht="15.6" x14ac:dyDescent="0.3">
      <c r="F14" s="10" t="s">
        <v>49</v>
      </c>
      <c r="G14" s="11">
        <f>+$G$6+G12+G13</f>
        <v>23019.379999999997</v>
      </c>
      <c r="H14" s="11">
        <f>+$H$6+H12+H13</f>
        <v>25838.489999999998</v>
      </c>
      <c r="J14" s="180"/>
    </row>
    <row r="15" spans="1:15" x14ac:dyDescent="0.3">
      <c r="A15" s="1" t="s">
        <v>68</v>
      </c>
      <c r="B15" s="15">
        <f>+B10+C10</f>
        <v>13050</v>
      </c>
      <c r="C15" s="48"/>
      <c r="J15" s="180"/>
    </row>
    <row r="16" spans="1:15" x14ac:dyDescent="0.3">
      <c r="A16" s="80" t="s">
        <v>66</v>
      </c>
      <c r="B16" s="81">
        <f>C7+B7+B11+C11</f>
        <v>5515.92</v>
      </c>
      <c r="C16" s="18"/>
      <c r="D16" s="18"/>
      <c r="F16" t="s">
        <v>51</v>
      </c>
      <c r="G16" s="9">
        <v>8700</v>
      </c>
      <c r="H16" s="9">
        <v>7830</v>
      </c>
      <c r="J16" s="180" t="s">
        <v>212</v>
      </c>
    </row>
    <row r="17" spans="1:17" x14ac:dyDescent="0.3">
      <c r="D17" s="14"/>
      <c r="F17" t="s">
        <v>54</v>
      </c>
      <c r="G17" s="12">
        <v>1215</v>
      </c>
      <c r="H17" s="12">
        <f>+H29*3</f>
        <v>1378.98</v>
      </c>
      <c r="J17" s="153" t="s">
        <v>225</v>
      </c>
      <c r="K17" s="226">
        <v>1400</v>
      </c>
    </row>
    <row r="18" spans="1:17" ht="15.6" x14ac:dyDescent="0.3">
      <c r="A18" s="1" t="s">
        <v>69</v>
      </c>
      <c r="B18" s="248">
        <v>5600</v>
      </c>
      <c r="C18" t="s">
        <v>178</v>
      </c>
      <c r="F18" s="10" t="s">
        <v>49</v>
      </c>
      <c r="G18" s="11">
        <f>+$G$6+G16+G17</f>
        <v>26324.379999999997</v>
      </c>
      <c r="H18" s="11">
        <f>+$H$6+H16+H17</f>
        <v>28908.149999999998</v>
      </c>
      <c r="J18" s="102" t="s">
        <v>223</v>
      </c>
      <c r="K18" s="226">
        <v>1400</v>
      </c>
    </row>
    <row r="19" spans="1:17" ht="15" thickBot="1" x14ac:dyDescent="0.35">
      <c r="J19" s="102" t="s">
        <v>224</v>
      </c>
      <c r="K19" s="107">
        <v>1400</v>
      </c>
    </row>
    <row r="20" spans="1:17" ht="15" thickBot="1" x14ac:dyDescent="0.35">
      <c r="A20" s="146" t="s">
        <v>163</v>
      </c>
      <c r="B20" s="148">
        <f>D9*150</f>
        <v>1800</v>
      </c>
      <c r="C20" s="17" t="s">
        <v>165</v>
      </c>
      <c r="F20" t="s">
        <v>52</v>
      </c>
      <c r="G20" s="9">
        <v>11600</v>
      </c>
      <c r="H20" s="9">
        <v>10440</v>
      </c>
      <c r="J20" s="102" t="s">
        <v>226</v>
      </c>
      <c r="K20" s="226">
        <v>1400</v>
      </c>
    </row>
    <row r="21" spans="1:17" x14ac:dyDescent="0.3">
      <c r="A21" s="144"/>
      <c r="B21" s="145"/>
      <c r="C21" t="s">
        <v>178</v>
      </c>
      <c r="F21" t="s">
        <v>54</v>
      </c>
      <c r="G21" s="12">
        <v>1620</v>
      </c>
      <c r="H21" s="12">
        <f>+H29*4</f>
        <v>1838.64</v>
      </c>
      <c r="J21" s="153"/>
      <c r="K21" s="226"/>
    </row>
    <row r="22" spans="1:17" ht="15.6" x14ac:dyDescent="0.3">
      <c r="A22" s="140"/>
      <c r="B22" s="141"/>
      <c r="D22" s="14"/>
      <c r="F22" s="10" t="s">
        <v>49</v>
      </c>
      <c r="G22" s="11">
        <f>+$G$6+G20+G21</f>
        <v>29629.379999999997</v>
      </c>
      <c r="H22" s="11">
        <f>+$H$6+H20+H21</f>
        <v>31977.809999999998</v>
      </c>
      <c r="J22" s="86"/>
      <c r="K22" s="227">
        <f>SUM(K17:K21)</f>
        <v>5600</v>
      </c>
    </row>
    <row r="23" spans="1:17" x14ac:dyDescent="0.3">
      <c r="A23" s="140"/>
      <c r="B23" s="141"/>
      <c r="C23" s="14"/>
      <c r="J23" s="86"/>
    </row>
    <row r="24" spans="1:17" ht="15" thickBot="1" x14ac:dyDescent="0.35">
      <c r="A24" s="142"/>
      <c r="B24" s="143"/>
      <c r="C24" s="88"/>
      <c r="F24" t="s">
        <v>53</v>
      </c>
      <c r="G24" s="9">
        <v>14500</v>
      </c>
      <c r="H24" s="9">
        <v>13050</v>
      </c>
      <c r="J24" s="268" t="s">
        <v>265</v>
      </c>
      <c r="K24" s="247"/>
      <c r="L24" s="247"/>
      <c r="M24" s="247"/>
      <c r="N24" s="247"/>
      <c r="O24" s="247"/>
      <c r="P24" s="247"/>
      <c r="Q24" s="247"/>
    </row>
    <row r="25" spans="1:17" ht="15" thickBot="1" x14ac:dyDescent="0.35">
      <c r="C25" s="90"/>
      <c r="F25" t="s">
        <v>54</v>
      </c>
      <c r="G25" s="12">
        <v>2025</v>
      </c>
      <c r="H25" s="12">
        <f>+H29*5</f>
        <v>2298.3000000000002</v>
      </c>
      <c r="J25" s="261" t="s">
        <v>279</v>
      </c>
      <c r="K25" s="265"/>
      <c r="L25" s="261" t="s">
        <v>257</v>
      </c>
      <c r="M25" s="261">
        <v>38.299999999999997</v>
      </c>
      <c r="N25" s="266" t="s">
        <v>303</v>
      </c>
      <c r="O25" s="265" t="s">
        <v>304</v>
      </c>
      <c r="P25" s="261" t="s">
        <v>261</v>
      </c>
      <c r="Q25" s="24">
        <v>200</v>
      </c>
    </row>
    <row r="26" spans="1:17" ht="16.2" thickBot="1" x14ac:dyDescent="0.35">
      <c r="A26" s="146" t="s">
        <v>164</v>
      </c>
      <c r="B26" s="147">
        <f>SUM(B27:B30)</f>
        <v>200</v>
      </c>
      <c r="C26" s="17" t="s">
        <v>165</v>
      </c>
      <c r="F26" s="10" t="s">
        <v>49</v>
      </c>
      <c r="G26" s="11">
        <f>+$G$6+G24+G25</f>
        <v>32934.379999999997</v>
      </c>
      <c r="H26" s="11">
        <f>+$H$6+H24+H25</f>
        <v>35047.47</v>
      </c>
    </row>
    <row r="27" spans="1:17" x14ac:dyDescent="0.3">
      <c r="A27" s="144" t="s">
        <v>167</v>
      </c>
      <c r="B27" s="145"/>
    </row>
    <row r="28" spans="1:17" x14ac:dyDescent="0.3">
      <c r="A28" s="140" t="s">
        <v>173</v>
      </c>
      <c r="B28" s="284">
        <v>200</v>
      </c>
      <c r="C28" t="s">
        <v>178</v>
      </c>
    </row>
    <row r="29" spans="1:17" x14ac:dyDescent="0.3">
      <c r="A29" s="140"/>
      <c r="B29" s="141"/>
      <c r="F29" t="s">
        <v>61</v>
      </c>
      <c r="G29" s="14">
        <v>405</v>
      </c>
      <c r="H29" s="14">
        <v>459.66</v>
      </c>
    </row>
    <row r="30" spans="1:17" ht="15" thickBot="1" x14ac:dyDescent="0.35">
      <c r="A30" s="142"/>
      <c r="B30" s="143"/>
      <c r="F30" t="s">
        <v>64</v>
      </c>
      <c r="G30" s="14">
        <v>2900</v>
      </c>
      <c r="H30" s="14">
        <v>2610</v>
      </c>
    </row>
    <row r="31" spans="1:17" x14ac:dyDescent="0.3">
      <c r="A31" s="18"/>
      <c r="B31" s="18"/>
    </row>
    <row r="32" spans="1:17" x14ac:dyDescent="0.3">
      <c r="A32" s="18"/>
    </row>
    <row r="33" spans="1:1" x14ac:dyDescent="0.3">
      <c r="A33" s="18"/>
    </row>
    <row r="34" spans="1:1" x14ac:dyDescent="0.3">
      <c r="A34" s="18"/>
    </row>
    <row r="35" spans="1:1" x14ac:dyDescent="0.3">
      <c r="A35" s="18"/>
    </row>
    <row r="36" spans="1:1" x14ac:dyDescent="0.3">
      <c r="A36" s="18"/>
    </row>
    <row r="37" spans="1:1" x14ac:dyDescent="0.3">
      <c r="A37" s="18"/>
    </row>
    <row r="38" spans="1:1" x14ac:dyDescent="0.3">
      <c r="A38" s="18"/>
    </row>
    <row r="39" spans="1:1" x14ac:dyDescent="0.3">
      <c r="A39" s="18"/>
    </row>
    <row r="40" spans="1:1" x14ac:dyDescent="0.3">
      <c r="A40" s="18"/>
    </row>
    <row r="41" spans="1:1" x14ac:dyDescent="0.3">
      <c r="A41" s="18"/>
    </row>
    <row r="42" spans="1:1" x14ac:dyDescent="0.3">
      <c r="A42" s="49"/>
    </row>
    <row r="43" spans="1:1" x14ac:dyDescent="0.3">
      <c r="A43" s="18"/>
    </row>
    <row r="44" spans="1:1" x14ac:dyDescent="0.3">
      <c r="A44" s="18"/>
    </row>
    <row r="45" spans="1:1" x14ac:dyDescent="0.3">
      <c r="A45" s="18"/>
    </row>
    <row r="46" spans="1:1" x14ac:dyDescent="0.3">
      <c r="A46" s="18"/>
    </row>
    <row r="47" spans="1:1" x14ac:dyDescent="0.3">
      <c r="A47" s="50"/>
    </row>
  </sheetData>
  <mergeCells count="3">
    <mergeCell ref="A1:C1"/>
    <mergeCell ref="F1:H1"/>
    <mergeCell ref="B5:C5"/>
  </mergeCells>
  <pageMargins left="0.7" right="0.7" top="0.75" bottom="0.75" header="0.3" footer="0.3"/>
  <pageSetup paperSize="9"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D3632-70BC-4A95-BEA2-A12F54214972}">
  <sheetPr>
    <tabColor rgb="FFFFFF00"/>
    <pageSetUpPr fitToPage="1"/>
  </sheetPr>
  <dimension ref="A1:S43"/>
  <sheetViews>
    <sheetView workbookViewId="0">
      <selection activeCell="B20" sqref="B20"/>
    </sheetView>
  </sheetViews>
  <sheetFormatPr defaultRowHeight="14.4" x14ac:dyDescent="0.3"/>
  <cols>
    <col min="1" max="1" width="48.6640625" style="28" customWidth="1"/>
    <col min="2" max="2" width="14.109375" style="27" bestFit="1" customWidth="1"/>
    <col min="3" max="3" width="13.5546875" style="27" bestFit="1" customWidth="1"/>
    <col min="4" max="5" width="9.109375" style="27"/>
    <col min="6" max="6" width="19.5546875" style="27" bestFit="1" customWidth="1"/>
    <col min="7" max="7" width="14.109375" style="27" hidden="1" customWidth="1"/>
    <col min="8" max="8" width="13.5546875" style="27" bestFit="1" customWidth="1"/>
    <col min="12" max="12" width="31" customWidth="1"/>
  </cols>
  <sheetData>
    <row r="1" spans="1:15" ht="15" thickBot="1" x14ac:dyDescent="0.35">
      <c r="A1" s="303" t="s">
        <v>111</v>
      </c>
      <c r="B1" s="304"/>
      <c r="C1" s="304"/>
      <c r="D1"/>
      <c r="E1"/>
      <c r="F1" s="305" t="s">
        <v>60</v>
      </c>
      <c r="G1" s="306"/>
      <c r="H1" s="307"/>
      <c r="K1">
        <v>1</v>
      </c>
      <c r="L1" s="100" t="s">
        <v>449</v>
      </c>
    </row>
    <row r="2" spans="1:15" x14ac:dyDescent="0.3">
      <c r="A2"/>
      <c r="B2"/>
      <c r="C2"/>
      <c r="D2"/>
      <c r="E2"/>
      <c r="F2"/>
      <c r="G2"/>
      <c r="H2"/>
      <c r="K2">
        <v>2</v>
      </c>
      <c r="L2" s="228" t="s">
        <v>450</v>
      </c>
    </row>
    <row r="3" spans="1:15" ht="15.6" x14ac:dyDescent="0.3">
      <c r="A3"/>
      <c r="B3" s="13" t="s">
        <v>56</v>
      </c>
      <c r="C3" s="13" t="s">
        <v>57</v>
      </c>
      <c r="D3"/>
      <c r="E3"/>
      <c r="F3"/>
      <c r="G3" s="13" t="s">
        <v>56</v>
      </c>
      <c r="H3" s="13" t="s">
        <v>57</v>
      </c>
      <c r="K3">
        <v>3</v>
      </c>
      <c r="L3" s="100" t="s">
        <v>451</v>
      </c>
    </row>
    <row r="4" spans="1:15" x14ac:dyDescent="0.3">
      <c r="A4"/>
      <c r="B4"/>
      <c r="C4"/>
      <c r="D4"/>
      <c r="E4"/>
      <c r="F4" t="s">
        <v>46</v>
      </c>
      <c r="G4" s="8">
        <v>13574.38</v>
      </c>
      <c r="H4" s="9">
        <v>16481.580000000002</v>
      </c>
      <c r="K4">
        <v>4</v>
      </c>
      <c r="L4" s="100" t="s">
        <v>452</v>
      </c>
    </row>
    <row r="5" spans="1:15" x14ac:dyDescent="0.3">
      <c r="A5" s="1" t="s">
        <v>58</v>
      </c>
      <c r="B5" s="308">
        <f>+H4</f>
        <v>16481.580000000002</v>
      </c>
      <c r="C5" s="308"/>
      <c r="D5"/>
      <c r="E5"/>
      <c r="F5" t="s">
        <v>55</v>
      </c>
      <c r="G5" s="8">
        <v>2835</v>
      </c>
      <c r="H5" s="8">
        <f>+H29*7</f>
        <v>3217.6200000000003</v>
      </c>
      <c r="K5">
        <v>5</v>
      </c>
      <c r="L5" s="100" t="s">
        <v>453</v>
      </c>
    </row>
    <row r="6" spans="1:15" ht="15.6" x14ac:dyDescent="0.3">
      <c r="A6" s="1" t="s">
        <v>65</v>
      </c>
      <c r="B6" s="4">
        <v>0</v>
      </c>
      <c r="C6" s="26">
        <v>7</v>
      </c>
      <c r="D6"/>
      <c r="E6"/>
      <c r="F6" s="10" t="s">
        <v>47</v>
      </c>
      <c r="G6" s="11">
        <f>SUM(G4:G5)</f>
        <v>16409.379999999997</v>
      </c>
      <c r="H6" s="11">
        <f>SUM(H4:H5)</f>
        <v>19699.2</v>
      </c>
      <c r="K6">
        <v>6</v>
      </c>
      <c r="L6" s="100" t="s">
        <v>454</v>
      </c>
    </row>
    <row r="7" spans="1:15" x14ac:dyDescent="0.3">
      <c r="A7" s="1" t="s">
        <v>59</v>
      </c>
      <c r="B7" s="15">
        <f>+$G$29*B6</f>
        <v>0</v>
      </c>
      <c r="C7" s="15">
        <f>+H5</f>
        <v>3217.6200000000003</v>
      </c>
      <c r="D7"/>
      <c r="E7"/>
      <c r="F7"/>
      <c r="G7"/>
      <c r="H7"/>
      <c r="K7">
        <v>7</v>
      </c>
      <c r="L7" s="100" t="s">
        <v>455</v>
      </c>
    </row>
    <row r="8" spans="1:15" x14ac:dyDescent="0.3">
      <c r="A8"/>
      <c r="B8"/>
      <c r="C8"/>
      <c r="D8"/>
      <c r="E8"/>
      <c r="F8" t="s">
        <v>48</v>
      </c>
      <c r="G8" s="9">
        <v>2900</v>
      </c>
      <c r="H8" s="9">
        <v>2610</v>
      </c>
      <c r="K8">
        <v>8</v>
      </c>
      <c r="L8" s="57" t="s">
        <v>456</v>
      </c>
    </row>
    <row r="9" spans="1:15" x14ac:dyDescent="0.3">
      <c r="A9" s="1" t="s">
        <v>63</v>
      </c>
      <c r="B9" s="4">
        <v>0</v>
      </c>
      <c r="C9" s="4">
        <v>6</v>
      </c>
      <c r="D9" s="24">
        <f>+C6+C9</f>
        <v>13</v>
      </c>
      <c r="E9"/>
      <c r="F9" t="s">
        <v>54</v>
      </c>
      <c r="G9" s="12">
        <v>405</v>
      </c>
      <c r="H9" s="12">
        <f>+H29</f>
        <v>459.66</v>
      </c>
      <c r="K9">
        <v>9</v>
      </c>
      <c r="L9" s="100" t="s">
        <v>457</v>
      </c>
    </row>
    <row r="10" spans="1:15" ht="15.6" x14ac:dyDescent="0.3">
      <c r="A10" s="1" t="s">
        <v>62</v>
      </c>
      <c r="B10" s="15">
        <f>+$G$30*B9</f>
        <v>0</v>
      </c>
      <c r="C10" s="15">
        <f>+$H$30*C9</f>
        <v>15660</v>
      </c>
      <c r="D10"/>
      <c r="E10"/>
      <c r="F10" s="10" t="s">
        <v>49</v>
      </c>
      <c r="G10" s="11">
        <f>+$G$6+G8+G9</f>
        <v>19714.379999999997</v>
      </c>
      <c r="H10" s="11">
        <f>+$H$6+H8+H9</f>
        <v>22768.86</v>
      </c>
      <c r="K10">
        <v>10</v>
      </c>
      <c r="L10" s="102" t="s">
        <v>458</v>
      </c>
      <c r="M10" t="s">
        <v>459</v>
      </c>
    </row>
    <row r="11" spans="1:15" x14ac:dyDescent="0.3">
      <c r="A11" s="1" t="s">
        <v>67</v>
      </c>
      <c r="B11" s="15">
        <f>+$G$29*B9</f>
        <v>0</v>
      </c>
      <c r="C11" s="15">
        <f>+$H$29*C9</f>
        <v>2757.96</v>
      </c>
      <c r="D11"/>
      <c r="E11"/>
      <c r="F11"/>
      <c r="G11"/>
      <c r="H11"/>
      <c r="K11">
        <v>11</v>
      </c>
      <c r="L11" s="102" t="s">
        <v>337</v>
      </c>
      <c r="M11" t="s">
        <v>459</v>
      </c>
      <c r="O11" s="70" t="s">
        <v>169</v>
      </c>
    </row>
    <row r="12" spans="1:15" x14ac:dyDescent="0.3">
      <c r="A12"/>
      <c r="B12"/>
      <c r="C12"/>
      <c r="D12"/>
      <c r="E12"/>
      <c r="F12" t="s">
        <v>50</v>
      </c>
      <c r="G12" s="9">
        <v>5800</v>
      </c>
      <c r="H12" s="9">
        <v>5220</v>
      </c>
      <c r="K12">
        <v>12</v>
      </c>
      <c r="L12" s="102" t="s">
        <v>337</v>
      </c>
      <c r="M12" t="s">
        <v>459</v>
      </c>
      <c r="O12" s="70" t="s">
        <v>170</v>
      </c>
    </row>
    <row r="13" spans="1:15" x14ac:dyDescent="0.3">
      <c r="A13"/>
      <c r="B13"/>
      <c r="C13"/>
      <c r="D13"/>
      <c r="E13"/>
      <c r="F13" t="s">
        <v>54</v>
      </c>
      <c r="G13" s="12">
        <v>810</v>
      </c>
      <c r="H13" s="12">
        <f>+H29*2</f>
        <v>919.32</v>
      </c>
      <c r="K13">
        <v>13</v>
      </c>
      <c r="L13" s="65" t="s">
        <v>460</v>
      </c>
      <c r="M13" t="s">
        <v>459</v>
      </c>
    </row>
    <row r="14" spans="1:15" ht="15.6" x14ac:dyDescent="0.3">
      <c r="A14"/>
      <c r="B14"/>
      <c r="C14"/>
      <c r="D14"/>
      <c r="E14"/>
      <c r="F14" s="10" t="s">
        <v>49</v>
      </c>
      <c r="G14" s="11">
        <f>+$G$6+G12+G13</f>
        <v>23019.379999999997</v>
      </c>
      <c r="H14" s="11">
        <f>+$H$6+H12+H13</f>
        <v>25838.52</v>
      </c>
      <c r="L14" s="235"/>
    </row>
    <row r="15" spans="1:15" x14ac:dyDescent="0.3">
      <c r="A15" s="1" t="s">
        <v>68</v>
      </c>
      <c r="B15" s="15">
        <f>+B10+C10</f>
        <v>15660</v>
      </c>
      <c r="C15" s="14"/>
      <c r="D15"/>
      <c r="E15"/>
      <c r="F15"/>
      <c r="G15"/>
      <c r="H15"/>
      <c r="L15" s="236"/>
    </row>
    <row r="16" spans="1:15" x14ac:dyDescent="0.3">
      <c r="A16" s="80" t="s">
        <v>66</v>
      </c>
      <c r="B16" s="81">
        <f>B7+C7+B11+C11</f>
        <v>5975.58</v>
      </c>
      <c r="C16" s="17"/>
      <c r="D16" s="21"/>
      <c r="E16"/>
      <c r="F16" t="s">
        <v>51</v>
      </c>
      <c r="G16" s="9">
        <v>8700</v>
      </c>
      <c r="H16" s="9">
        <v>7830</v>
      </c>
      <c r="L16" s="236">
        <f>13*150</f>
        <v>1950</v>
      </c>
    </row>
    <row r="17" spans="1:19" x14ac:dyDescent="0.3">
      <c r="A17"/>
      <c r="B17"/>
      <c r="C17"/>
      <c r="D17"/>
      <c r="E17"/>
      <c r="F17" t="s">
        <v>54</v>
      </c>
      <c r="G17" s="12">
        <v>1215</v>
      </c>
      <c r="H17" s="12">
        <f>+H29*3</f>
        <v>1378.98</v>
      </c>
      <c r="K17" s="297" t="s">
        <v>658</v>
      </c>
      <c r="L17" s="17" t="s">
        <v>657</v>
      </c>
      <c r="M17" s="17"/>
      <c r="N17" s="17"/>
    </row>
    <row r="18" spans="1:19" ht="15.6" x14ac:dyDescent="0.3">
      <c r="A18" s="1" t="s">
        <v>69</v>
      </c>
      <c r="B18" s="248">
        <v>4200</v>
      </c>
      <c r="C18" s="20" t="s">
        <v>178</v>
      </c>
      <c r="D18"/>
      <c r="E18"/>
      <c r="F18" s="10" t="s">
        <v>49</v>
      </c>
      <c r="G18" s="11">
        <f>+$G$6+G16+G17</f>
        <v>26324.379999999997</v>
      </c>
      <c r="H18" s="11">
        <f>+$H$6+H16+H17</f>
        <v>28908.18</v>
      </c>
      <c r="K18" s="208"/>
      <c r="L18" s="157">
        <f>12*150</f>
        <v>1800</v>
      </c>
      <c r="M18" t="s">
        <v>342</v>
      </c>
    </row>
    <row r="19" spans="1:19" ht="15" thickBot="1" x14ac:dyDescent="0.35">
      <c r="A19" s="17"/>
      <c r="B19"/>
      <c r="C19"/>
      <c r="D19"/>
      <c r="E19"/>
      <c r="F19"/>
      <c r="G19"/>
      <c r="H19"/>
      <c r="K19" s="207"/>
    </row>
    <row r="20" spans="1:19" ht="15" thickBot="1" x14ac:dyDescent="0.35">
      <c r="A20" s="146" t="s">
        <v>163</v>
      </c>
      <c r="B20" s="148">
        <f>(D9*150)-150</f>
        <v>1800</v>
      </c>
      <c r="C20" s="17" t="s">
        <v>165</v>
      </c>
      <c r="D20" s="17"/>
      <c r="E20" s="17"/>
      <c r="F20" t="s">
        <v>52</v>
      </c>
      <c r="G20" s="9">
        <v>11600</v>
      </c>
      <c r="H20" s="9">
        <v>10440</v>
      </c>
      <c r="K20" s="207"/>
      <c r="L20" s="27" t="s">
        <v>212</v>
      </c>
    </row>
    <row r="21" spans="1:19" x14ac:dyDescent="0.3">
      <c r="A21" s="144"/>
      <c r="B21" s="145"/>
      <c r="C21" t="s">
        <v>178</v>
      </c>
      <c r="D21" s="17"/>
      <c r="E21" s="17"/>
      <c r="F21" t="s">
        <v>54</v>
      </c>
      <c r="G21" s="12">
        <v>1620</v>
      </c>
      <c r="H21" s="12">
        <f>+H29*4</f>
        <v>1838.64</v>
      </c>
      <c r="K21" s="207"/>
      <c r="L21" s="102" t="s">
        <v>223</v>
      </c>
      <c r="M21" s="226">
        <v>1400</v>
      </c>
    </row>
    <row r="22" spans="1:19" ht="15.6" x14ac:dyDescent="0.3">
      <c r="A22" s="140"/>
      <c r="B22" s="141"/>
      <c r="C22"/>
      <c r="D22" s="17"/>
      <c r="E22"/>
      <c r="F22" s="10" t="s">
        <v>49</v>
      </c>
      <c r="G22" s="11">
        <f>+$G$6+G20+G21</f>
        <v>29629.379999999997</v>
      </c>
      <c r="H22" s="11">
        <f>+$H$6+H20+H21</f>
        <v>31977.84</v>
      </c>
      <c r="K22" s="207"/>
      <c r="L22" s="102" t="s">
        <v>224</v>
      </c>
      <c r="M22" s="107">
        <v>1400</v>
      </c>
    </row>
    <row r="23" spans="1:19" x14ac:dyDescent="0.3">
      <c r="A23" s="140"/>
      <c r="B23" s="141"/>
      <c r="C23" s="14"/>
      <c r="D23" s="17"/>
      <c r="E23"/>
      <c r="F23"/>
      <c r="G23"/>
      <c r="H23"/>
      <c r="K23" s="207"/>
      <c r="L23" s="102" t="s">
        <v>226</v>
      </c>
      <c r="M23" s="226">
        <v>1400</v>
      </c>
    </row>
    <row r="24" spans="1:19" ht="15" thickBot="1" x14ac:dyDescent="0.35">
      <c r="A24" s="142"/>
      <c r="B24" s="143"/>
      <c r="C24" s="88"/>
      <c r="D24" s="17"/>
      <c r="E24"/>
      <c r="F24" t="s">
        <v>53</v>
      </c>
      <c r="G24" s="9">
        <v>14500</v>
      </c>
      <c r="H24" s="9">
        <v>13050</v>
      </c>
      <c r="K24" s="207"/>
      <c r="L24" s="102"/>
      <c r="M24" s="108">
        <f>SUM(M21:M23)</f>
        <v>4200</v>
      </c>
    </row>
    <row r="25" spans="1:19" ht="15" thickBot="1" x14ac:dyDescent="0.35">
      <c r="A25"/>
      <c r="B25"/>
      <c r="C25" s="90"/>
      <c r="D25"/>
      <c r="E25"/>
      <c r="F25" t="s">
        <v>54</v>
      </c>
      <c r="G25" s="12">
        <v>2025</v>
      </c>
      <c r="H25" s="12">
        <f>+H29*5</f>
        <v>2298.3000000000002</v>
      </c>
      <c r="K25" s="207"/>
      <c r="L25" s="27"/>
    </row>
    <row r="26" spans="1:19" ht="16.2" thickBot="1" x14ac:dyDescent="0.35">
      <c r="A26" s="146" t="s">
        <v>164</v>
      </c>
      <c r="B26" s="147">
        <f>SUM(B27:B30)</f>
        <v>400</v>
      </c>
      <c r="C26" s="17" t="s">
        <v>165</v>
      </c>
      <c r="D26"/>
      <c r="E26"/>
      <c r="F26" s="10" t="s">
        <v>49</v>
      </c>
      <c r="G26" s="11">
        <f>+$G$6+G24+G25</f>
        <v>32934.379999999997</v>
      </c>
      <c r="H26" s="11">
        <f>+$H$6+H24+H25</f>
        <v>35047.5</v>
      </c>
      <c r="K26" s="209"/>
      <c r="L26" s="264" t="s">
        <v>265</v>
      </c>
      <c r="M26" s="247"/>
      <c r="N26" s="247"/>
      <c r="O26" s="247"/>
      <c r="P26" s="247"/>
      <c r="Q26" s="247"/>
      <c r="R26" s="247"/>
      <c r="S26" s="247"/>
    </row>
    <row r="27" spans="1:19" x14ac:dyDescent="0.3">
      <c r="A27" s="144" t="s">
        <v>167</v>
      </c>
      <c r="B27" s="145"/>
      <c r="C27"/>
      <c r="D27"/>
      <c r="E27"/>
      <c r="F27"/>
      <c r="G27"/>
      <c r="H27"/>
      <c r="K27" s="210"/>
      <c r="L27" s="261" t="s">
        <v>305</v>
      </c>
      <c r="M27" s="261">
        <v>44</v>
      </c>
      <c r="N27" s="261" t="s">
        <v>257</v>
      </c>
      <c r="O27" s="261">
        <v>39.78</v>
      </c>
      <c r="P27" s="262" t="s">
        <v>247</v>
      </c>
      <c r="Q27" s="261" t="s">
        <v>306</v>
      </c>
      <c r="R27" s="261" t="s">
        <v>261</v>
      </c>
      <c r="S27" s="24">
        <v>200</v>
      </c>
    </row>
    <row r="28" spans="1:19" x14ac:dyDescent="0.3">
      <c r="A28" s="140" t="s">
        <v>173</v>
      </c>
      <c r="B28" s="284">
        <f>200*2</f>
        <v>400</v>
      </c>
      <c r="C28" t="s">
        <v>178</v>
      </c>
      <c r="D28"/>
      <c r="E28"/>
      <c r="F28"/>
      <c r="G28"/>
      <c r="H28"/>
      <c r="K28" s="210"/>
      <c r="L28" s="261" t="s">
        <v>282</v>
      </c>
      <c r="M28" s="261"/>
      <c r="N28" s="261" t="s">
        <v>257</v>
      </c>
      <c r="O28" s="261">
        <v>38.26</v>
      </c>
      <c r="P28" s="262" t="s">
        <v>247</v>
      </c>
      <c r="Q28" s="261" t="s">
        <v>306</v>
      </c>
      <c r="R28" s="261" t="s">
        <v>261</v>
      </c>
      <c r="S28" s="24">
        <v>200</v>
      </c>
    </row>
    <row r="29" spans="1:19" x14ac:dyDescent="0.3">
      <c r="A29" s="140"/>
      <c r="B29" s="141"/>
      <c r="C29"/>
      <c r="D29"/>
      <c r="E29"/>
      <c r="F29" t="s">
        <v>61</v>
      </c>
      <c r="G29" s="14">
        <v>405</v>
      </c>
      <c r="H29" s="14">
        <v>459.66</v>
      </c>
      <c r="K29" s="211"/>
      <c r="L29" s="247"/>
      <c r="M29" s="247"/>
      <c r="N29" s="247"/>
      <c r="O29" s="247"/>
      <c r="P29" s="247"/>
      <c r="Q29" s="247"/>
      <c r="R29" s="247"/>
      <c r="S29" s="269">
        <f>SUM(S27:S28)</f>
        <v>400</v>
      </c>
    </row>
    <row r="30" spans="1:19" ht="15" thickBot="1" x14ac:dyDescent="0.35">
      <c r="A30" s="142"/>
      <c r="B30" s="143"/>
      <c r="C30"/>
      <c r="D30"/>
      <c r="E30"/>
      <c r="F30" t="s">
        <v>64</v>
      </c>
      <c r="G30" s="14">
        <v>2900</v>
      </c>
      <c r="H30" s="14">
        <v>2610</v>
      </c>
      <c r="K30" s="209"/>
    </row>
    <row r="31" spans="1:19" x14ac:dyDescent="0.3">
      <c r="A31"/>
      <c r="B31"/>
      <c r="C31"/>
      <c r="D31"/>
      <c r="E31"/>
      <c r="F31"/>
      <c r="G31"/>
      <c r="H31"/>
      <c r="K31" s="163"/>
    </row>
    <row r="32" spans="1:19" x14ac:dyDescent="0.3">
      <c r="A32" s="74"/>
      <c r="B32" s="54"/>
      <c r="C32"/>
      <c r="D32"/>
      <c r="K32" s="163"/>
    </row>
    <row r="33" spans="1:4" x14ac:dyDescent="0.3">
      <c r="A33"/>
      <c r="D33"/>
    </row>
    <row r="34" spans="1:4" x14ac:dyDescent="0.3">
      <c r="A34"/>
      <c r="D34"/>
    </row>
    <row r="35" spans="1:4" x14ac:dyDescent="0.3">
      <c r="A35"/>
    </row>
    <row r="36" spans="1:4" x14ac:dyDescent="0.3">
      <c r="A36"/>
    </row>
    <row r="37" spans="1:4" x14ac:dyDescent="0.3">
      <c r="A37"/>
    </row>
    <row r="38" spans="1:4" x14ac:dyDescent="0.3">
      <c r="A38"/>
    </row>
    <row r="39" spans="1:4" x14ac:dyDescent="0.3">
      <c r="A39"/>
    </row>
    <row r="43" spans="1:4" x14ac:dyDescent="0.3">
      <c r="A43" s="30"/>
    </row>
  </sheetData>
  <mergeCells count="3">
    <mergeCell ref="A1:C1"/>
    <mergeCell ref="F1:H1"/>
    <mergeCell ref="B5:C5"/>
  </mergeCells>
  <pageMargins left="0.7" right="0.7" top="0.75" bottom="0.75" header="0.3" footer="0.3"/>
  <pageSetup paperSize="9" scale="74" orientation="landscape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CFA07-6EC2-42F5-8244-C5EA2461BA51}">
  <sheetPr>
    <tabColor rgb="FFFFFF00"/>
    <pageSetUpPr fitToPage="1"/>
  </sheetPr>
  <dimension ref="A1:O43"/>
  <sheetViews>
    <sheetView workbookViewId="0">
      <selection activeCell="B20" sqref="B20"/>
    </sheetView>
  </sheetViews>
  <sheetFormatPr defaultRowHeight="14.4" x14ac:dyDescent="0.3"/>
  <cols>
    <col min="1" max="1" width="48.6640625" style="28" customWidth="1"/>
    <col min="2" max="2" width="14.109375" style="27" bestFit="1" customWidth="1"/>
    <col min="3" max="3" width="13.5546875" style="27" bestFit="1" customWidth="1"/>
    <col min="4" max="5" width="9.109375" style="27"/>
    <col min="6" max="6" width="19.5546875" style="27" bestFit="1" customWidth="1"/>
    <col min="7" max="7" width="14.109375" style="27" hidden="1" customWidth="1"/>
    <col min="8" max="8" width="13.5546875" style="27" bestFit="1" customWidth="1"/>
    <col min="12" max="12" width="16.88671875" customWidth="1"/>
  </cols>
  <sheetData>
    <row r="1" spans="1:15" ht="15" thickBot="1" x14ac:dyDescent="0.35">
      <c r="A1" s="303" t="s">
        <v>195</v>
      </c>
      <c r="B1" s="304"/>
      <c r="C1" s="304"/>
      <c r="D1"/>
      <c r="E1"/>
      <c r="F1" s="305" t="s">
        <v>60</v>
      </c>
      <c r="G1" s="306"/>
      <c r="H1" s="307"/>
      <c r="K1">
        <v>1</v>
      </c>
      <c r="L1" s="133" t="s">
        <v>461</v>
      </c>
      <c r="M1" s="133"/>
    </row>
    <row r="2" spans="1:15" x14ac:dyDescent="0.3">
      <c r="A2"/>
      <c r="B2"/>
      <c r="C2"/>
      <c r="D2"/>
      <c r="E2"/>
      <c r="F2"/>
      <c r="G2"/>
      <c r="H2"/>
      <c r="K2">
        <v>2</v>
      </c>
      <c r="L2" s="133" t="s">
        <v>462</v>
      </c>
      <c r="M2" s="133"/>
    </row>
    <row r="3" spans="1:15" ht="15.6" x14ac:dyDescent="0.3">
      <c r="A3"/>
      <c r="B3" s="13" t="s">
        <v>56</v>
      </c>
      <c r="C3" s="13" t="s">
        <v>57</v>
      </c>
      <c r="D3"/>
      <c r="E3"/>
      <c r="F3"/>
      <c r="G3" s="13" t="s">
        <v>56</v>
      </c>
      <c r="H3" s="13" t="s">
        <v>57</v>
      </c>
      <c r="K3">
        <v>3</v>
      </c>
      <c r="L3" s="133" t="s">
        <v>463</v>
      </c>
      <c r="M3" s="133"/>
    </row>
    <row r="4" spans="1:15" x14ac:dyDescent="0.3">
      <c r="A4"/>
      <c r="B4"/>
      <c r="C4"/>
      <c r="D4"/>
      <c r="E4"/>
      <c r="F4" t="s">
        <v>46</v>
      </c>
      <c r="G4" s="8">
        <v>13574.38</v>
      </c>
      <c r="H4" s="9">
        <v>16481.580000000002</v>
      </c>
      <c r="K4">
        <v>4</v>
      </c>
      <c r="L4" s="133" t="s">
        <v>464</v>
      </c>
      <c r="M4" s="133"/>
    </row>
    <row r="5" spans="1:15" x14ac:dyDescent="0.3">
      <c r="A5" s="1" t="s">
        <v>58</v>
      </c>
      <c r="B5" s="308">
        <f>+H4</f>
        <v>16481.580000000002</v>
      </c>
      <c r="C5" s="308"/>
      <c r="D5"/>
      <c r="E5"/>
      <c r="F5" t="s">
        <v>55</v>
      </c>
      <c r="G5" s="8">
        <v>2835</v>
      </c>
      <c r="H5" s="8">
        <f>+H29*7</f>
        <v>3217.6200000000003</v>
      </c>
      <c r="K5">
        <v>5</v>
      </c>
      <c r="L5" s="133" t="s">
        <v>465</v>
      </c>
      <c r="M5" s="133"/>
    </row>
    <row r="6" spans="1:15" ht="15.6" x14ac:dyDescent="0.3">
      <c r="A6" s="1" t="s">
        <v>65</v>
      </c>
      <c r="B6" s="4">
        <v>0</v>
      </c>
      <c r="C6" s="26">
        <v>7</v>
      </c>
      <c r="D6"/>
      <c r="E6"/>
      <c r="F6" s="10" t="s">
        <v>47</v>
      </c>
      <c r="G6" s="11">
        <f>SUM(G4:G5)</f>
        <v>16409.379999999997</v>
      </c>
      <c r="H6" s="11">
        <f>SUM(H4:H5)</f>
        <v>19699.2</v>
      </c>
      <c r="K6">
        <v>6</v>
      </c>
      <c r="L6" s="133" t="s">
        <v>466</v>
      </c>
      <c r="M6" s="133"/>
    </row>
    <row r="7" spans="1:15" x14ac:dyDescent="0.3">
      <c r="A7" s="1" t="s">
        <v>59</v>
      </c>
      <c r="B7" s="15">
        <f>+$G$29*B6</f>
        <v>0</v>
      </c>
      <c r="C7" s="15">
        <f>+H5</f>
        <v>3217.6200000000003</v>
      </c>
      <c r="D7"/>
      <c r="E7"/>
      <c r="F7"/>
      <c r="G7"/>
      <c r="H7"/>
      <c r="K7">
        <v>7</v>
      </c>
      <c r="L7" s="76" t="s">
        <v>467</v>
      </c>
      <c r="M7" s="133"/>
    </row>
    <row r="8" spans="1:15" x14ac:dyDescent="0.3">
      <c r="A8"/>
      <c r="B8"/>
      <c r="C8"/>
      <c r="D8"/>
      <c r="E8"/>
      <c r="F8" t="s">
        <v>48</v>
      </c>
      <c r="G8" s="9">
        <v>2900</v>
      </c>
      <c r="H8" s="9">
        <v>2610</v>
      </c>
      <c r="K8">
        <v>8</v>
      </c>
      <c r="L8" s="76" t="s">
        <v>468</v>
      </c>
      <c r="M8" s="133"/>
    </row>
    <row r="9" spans="1:15" x14ac:dyDescent="0.3">
      <c r="A9" s="1" t="s">
        <v>63</v>
      </c>
      <c r="B9" s="4">
        <v>0</v>
      </c>
      <c r="C9" s="4">
        <v>6</v>
      </c>
      <c r="D9" s="24">
        <f>+C6+C9</f>
        <v>13</v>
      </c>
      <c r="E9"/>
      <c r="F9" t="s">
        <v>54</v>
      </c>
      <c r="G9" s="12">
        <v>405</v>
      </c>
      <c r="H9" s="12">
        <f>+H29</f>
        <v>459.66</v>
      </c>
      <c r="K9">
        <v>9</v>
      </c>
      <c r="L9" s="76" t="s">
        <v>469</v>
      </c>
      <c r="M9" s="133"/>
    </row>
    <row r="10" spans="1:15" ht="15.6" x14ac:dyDescent="0.3">
      <c r="A10" s="1" t="s">
        <v>62</v>
      </c>
      <c r="B10" s="15">
        <f>+$G$30*B9</f>
        <v>0</v>
      </c>
      <c r="C10" s="15">
        <f>+$H$30*C9</f>
        <v>15660</v>
      </c>
      <c r="D10"/>
      <c r="E10"/>
      <c r="F10" s="10" t="s">
        <v>49</v>
      </c>
      <c r="G10" s="11">
        <f>+$G$6+G8+G9</f>
        <v>19714.379999999997</v>
      </c>
      <c r="H10" s="11">
        <f>+$H$6+H8+H9</f>
        <v>22768.86</v>
      </c>
      <c r="K10">
        <v>10</v>
      </c>
      <c r="L10" s="76" t="s">
        <v>470</v>
      </c>
      <c r="M10" s="133"/>
    </row>
    <row r="11" spans="1:15" x14ac:dyDescent="0.3">
      <c r="A11" s="1" t="s">
        <v>67</v>
      </c>
      <c r="B11" s="15">
        <f>+$G$29*B9</f>
        <v>0</v>
      </c>
      <c r="C11" s="15">
        <f>+$H$29*C9</f>
        <v>2757.96</v>
      </c>
      <c r="D11"/>
      <c r="E11"/>
      <c r="F11"/>
      <c r="G11"/>
      <c r="H11"/>
      <c r="K11">
        <v>11</v>
      </c>
      <c r="L11" s="76" t="s">
        <v>471</v>
      </c>
      <c r="M11" s="65"/>
      <c r="O11" s="70" t="s">
        <v>169</v>
      </c>
    </row>
    <row r="12" spans="1:15" x14ac:dyDescent="0.3">
      <c r="A12"/>
      <c r="B12"/>
      <c r="C12"/>
      <c r="D12"/>
      <c r="E12"/>
      <c r="F12" t="s">
        <v>50</v>
      </c>
      <c r="G12" s="9">
        <v>5800</v>
      </c>
      <c r="H12" s="9">
        <v>5220</v>
      </c>
      <c r="K12">
        <v>12</v>
      </c>
      <c r="L12" s="76" t="s">
        <v>337</v>
      </c>
      <c r="M12" s="76"/>
      <c r="O12" s="70" t="s">
        <v>170</v>
      </c>
    </row>
    <row r="13" spans="1:15" x14ac:dyDescent="0.3">
      <c r="A13"/>
      <c r="B13"/>
      <c r="C13"/>
      <c r="D13"/>
      <c r="E13"/>
      <c r="F13" t="s">
        <v>54</v>
      </c>
      <c r="G13" s="12">
        <v>810</v>
      </c>
      <c r="H13" s="12">
        <f>+H29*2</f>
        <v>919.32</v>
      </c>
      <c r="K13">
        <v>13</v>
      </c>
      <c r="L13" s="76" t="s">
        <v>337</v>
      </c>
      <c r="M13" s="76"/>
    </row>
    <row r="14" spans="1:15" ht="15.6" x14ac:dyDescent="0.3">
      <c r="A14"/>
      <c r="B14"/>
      <c r="C14"/>
      <c r="D14"/>
      <c r="E14"/>
      <c r="F14" s="10" t="s">
        <v>49</v>
      </c>
      <c r="G14" s="11">
        <f>+$G$6+G12+G13</f>
        <v>23019.379999999997</v>
      </c>
      <c r="H14" s="11">
        <f>+$H$6+H12+H13</f>
        <v>25838.52</v>
      </c>
      <c r="L14" s="235"/>
    </row>
    <row r="15" spans="1:15" x14ac:dyDescent="0.3">
      <c r="A15" s="1" t="s">
        <v>68</v>
      </c>
      <c r="B15" s="15">
        <f>+B10+C10</f>
        <v>15660</v>
      </c>
      <c r="C15" s="14"/>
      <c r="D15"/>
      <c r="E15"/>
      <c r="F15"/>
      <c r="G15"/>
      <c r="H15"/>
      <c r="L15" s="236"/>
    </row>
    <row r="16" spans="1:15" x14ac:dyDescent="0.3">
      <c r="A16" s="80" t="s">
        <v>66</v>
      </c>
      <c r="B16" s="81">
        <f>B7+C7+B11+C11</f>
        <v>5975.58</v>
      </c>
      <c r="C16" s="17"/>
      <c r="D16" s="21"/>
      <c r="E16"/>
      <c r="F16" t="s">
        <v>51</v>
      </c>
      <c r="G16" s="9">
        <v>8700</v>
      </c>
      <c r="H16" s="9">
        <v>7830</v>
      </c>
      <c r="L16" s="236">
        <f>13*150</f>
        <v>1950</v>
      </c>
    </row>
    <row r="17" spans="1:15" x14ac:dyDescent="0.3">
      <c r="A17"/>
      <c r="B17"/>
      <c r="C17"/>
      <c r="D17"/>
      <c r="E17"/>
      <c r="F17" t="s">
        <v>54</v>
      </c>
      <c r="G17" s="12">
        <v>1215</v>
      </c>
      <c r="H17" s="12">
        <f>+H29*3</f>
        <v>1378.98</v>
      </c>
      <c r="K17" s="207"/>
    </row>
    <row r="18" spans="1:15" ht="15.6" x14ac:dyDescent="0.3">
      <c r="A18" s="1" t="s">
        <v>69</v>
      </c>
      <c r="B18" s="248">
        <v>5600</v>
      </c>
      <c r="C18" s="20" t="s">
        <v>178</v>
      </c>
      <c r="D18"/>
      <c r="E18"/>
      <c r="F18" s="10" t="s">
        <v>49</v>
      </c>
      <c r="G18" s="11">
        <f>+$G$6+G16+G17</f>
        <v>26324.379999999997</v>
      </c>
      <c r="H18" s="11">
        <f>+$H$6+H16+H17</f>
        <v>28908.18</v>
      </c>
      <c r="K18" s="208"/>
    </row>
    <row r="19" spans="1:15" ht="15" thickBot="1" x14ac:dyDescent="0.35">
      <c r="A19" s="17"/>
      <c r="B19"/>
      <c r="C19"/>
      <c r="D19"/>
      <c r="E19"/>
      <c r="F19"/>
      <c r="G19"/>
      <c r="H19"/>
      <c r="K19" s="207"/>
    </row>
    <row r="20" spans="1:15" ht="15" thickBot="1" x14ac:dyDescent="0.35">
      <c r="A20" s="146" t="s">
        <v>163</v>
      </c>
      <c r="B20" s="148">
        <f>D9*150</f>
        <v>1950</v>
      </c>
      <c r="C20" s="17" t="s">
        <v>165</v>
      </c>
      <c r="D20" s="17"/>
      <c r="E20" s="17"/>
      <c r="F20" t="s">
        <v>52</v>
      </c>
      <c r="G20" s="9">
        <v>11600</v>
      </c>
      <c r="H20" s="9">
        <v>10440</v>
      </c>
      <c r="K20" s="207"/>
      <c r="L20" s="27"/>
    </row>
    <row r="21" spans="1:15" x14ac:dyDescent="0.3">
      <c r="A21" s="144"/>
      <c r="B21" s="145"/>
      <c r="C21" t="s">
        <v>178</v>
      </c>
      <c r="D21" s="17"/>
      <c r="E21" s="17"/>
      <c r="F21" t="s">
        <v>54</v>
      </c>
      <c r="G21" s="12">
        <v>1620</v>
      </c>
      <c r="H21" s="12">
        <f>+H29*4</f>
        <v>1838.64</v>
      </c>
      <c r="K21" s="207"/>
      <c r="L21" s="257"/>
      <c r="M21" s="257"/>
      <c r="N21" s="257" t="s">
        <v>248</v>
      </c>
      <c r="O21" s="257"/>
    </row>
    <row r="22" spans="1:15" ht="15.6" x14ac:dyDescent="0.3">
      <c r="A22" s="140"/>
      <c r="B22" s="141"/>
      <c r="C22"/>
      <c r="D22" s="17"/>
      <c r="E22"/>
      <c r="F22" s="10" t="s">
        <v>49</v>
      </c>
      <c r="G22" s="11">
        <f>+$G$6+G20+G21</f>
        <v>29629.379999999997</v>
      </c>
      <c r="H22" s="11">
        <f>+$H$6+H20+H21</f>
        <v>31977.84</v>
      </c>
      <c r="K22" s="207"/>
      <c r="L22" s="230"/>
      <c r="M22" s="230"/>
      <c r="N22" s="230"/>
      <c r="O22" s="258"/>
    </row>
    <row r="23" spans="1:15" x14ac:dyDescent="0.3">
      <c r="A23" s="140"/>
      <c r="B23" s="141"/>
      <c r="C23" s="14"/>
      <c r="D23" s="17"/>
      <c r="E23"/>
      <c r="F23"/>
      <c r="G23"/>
      <c r="H23"/>
      <c r="K23" s="207"/>
      <c r="L23" s="230" t="s">
        <v>215</v>
      </c>
      <c r="M23" s="230" t="s">
        <v>243</v>
      </c>
      <c r="N23" s="230">
        <v>1400</v>
      </c>
      <c r="O23" s="230" t="s">
        <v>249</v>
      </c>
    </row>
    <row r="24" spans="1:15" ht="15" thickBot="1" x14ac:dyDescent="0.35">
      <c r="A24" s="142"/>
      <c r="B24" s="143"/>
      <c r="C24" s="88"/>
      <c r="D24" s="17"/>
      <c r="E24"/>
      <c r="F24" t="s">
        <v>53</v>
      </c>
      <c r="G24" s="9">
        <v>14500</v>
      </c>
      <c r="H24" s="9">
        <v>13050</v>
      </c>
      <c r="K24" s="207"/>
      <c r="L24" s="230" t="s">
        <v>216</v>
      </c>
      <c r="M24" s="230" t="s">
        <v>237</v>
      </c>
      <c r="N24" s="230">
        <v>1400</v>
      </c>
      <c r="O24" s="230" t="s">
        <v>249</v>
      </c>
    </row>
    <row r="25" spans="1:15" ht="15" thickBot="1" x14ac:dyDescent="0.35">
      <c r="A25"/>
      <c r="B25"/>
      <c r="C25" s="90"/>
      <c r="D25"/>
      <c r="E25"/>
      <c r="F25" t="s">
        <v>54</v>
      </c>
      <c r="G25" s="12">
        <v>2025</v>
      </c>
      <c r="H25" s="12">
        <f>+H29*5</f>
        <v>2298.3000000000002</v>
      </c>
      <c r="K25" s="207"/>
      <c r="L25" s="230" t="s">
        <v>217</v>
      </c>
      <c r="M25" s="230" t="s">
        <v>237</v>
      </c>
      <c r="N25" s="230">
        <v>1400</v>
      </c>
      <c r="O25" s="230" t="s">
        <v>249</v>
      </c>
    </row>
    <row r="26" spans="1:15" ht="16.2" thickBot="1" x14ac:dyDescent="0.35">
      <c r="A26" s="146" t="s">
        <v>164</v>
      </c>
      <c r="B26" s="147">
        <f>SUM(B27:B30)</f>
        <v>0</v>
      </c>
      <c r="C26" s="17" t="s">
        <v>165</v>
      </c>
      <c r="D26"/>
      <c r="E26"/>
      <c r="F26" s="10" t="s">
        <v>49</v>
      </c>
      <c r="G26" s="11">
        <f>+$G$6+G24+G25</f>
        <v>32934.379999999997</v>
      </c>
      <c r="H26" s="11">
        <f>+$H$6+H24+H25</f>
        <v>35047.5</v>
      </c>
      <c r="K26" s="209"/>
      <c r="L26" s="230" t="s">
        <v>218</v>
      </c>
      <c r="M26" s="230" t="s">
        <v>235</v>
      </c>
      <c r="N26" s="230">
        <v>1400</v>
      </c>
      <c r="O26" s="230" t="s">
        <v>249</v>
      </c>
    </row>
    <row r="27" spans="1:15" x14ac:dyDescent="0.3">
      <c r="A27" s="144" t="s">
        <v>167</v>
      </c>
      <c r="B27" s="145"/>
      <c r="C27"/>
      <c r="D27"/>
      <c r="E27"/>
      <c r="F27"/>
      <c r="G27"/>
      <c r="H27"/>
      <c r="K27" s="210"/>
      <c r="L27" s="27"/>
    </row>
    <row r="28" spans="1:15" x14ac:dyDescent="0.3">
      <c r="A28" s="140" t="s">
        <v>173</v>
      </c>
      <c r="B28" s="141"/>
      <c r="C28"/>
      <c r="D28"/>
      <c r="E28"/>
      <c r="F28"/>
      <c r="G28"/>
      <c r="H28"/>
      <c r="K28" s="210"/>
      <c r="N28" s="16">
        <f>SUM(N23:N27)</f>
        <v>5600</v>
      </c>
    </row>
    <row r="29" spans="1:15" x14ac:dyDescent="0.3">
      <c r="A29" s="140"/>
      <c r="B29" s="141"/>
      <c r="C29"/>
      <c r="D29"/>
      <c r="E29"/>
      <c r="F29" t="s">
        <v>61</v>
      </c>
      <c r="G29" s="14">
        <v>405</v>
      </c>
      <c r="H29" s="14">
        <v>459.66</v>
      </c>
      <c r="K29" s="211"/>
    </row>
    <row r="30" spans="1:15" ht="15" thickBot="1" x14ac:dyDescent="0.35">
      <c r="A30" s="142"/>
      <c r="B30" s="143"/>
      <c r="C30"/>
      <c r="D30"/>
      <c r="E30"/>
      <c r="F30" t="s">
        <v>64</v>
      </c>
      <c r="G30" s="14">
        <v>2900</v>
      </c>
      <c r="H30" s="14">
        <v>2610</v>
      </c>
      <c r="K30" s="209"/>
    </row>
    <row r="31" spans="1:15" x14ac:dyDescent="0.3">
      <c r="A31"/>
      <c r="B31"/>
      <c r="C31"/>
      <c r="D31"/>
      <c r="E31"/>
      <c r="F31"/>
      <c r="G31"/>
      <c r="H31"/>
      <c r="K31" s="163"/>
    </row>
    <row r="32" spans="1:15" x14ac:dyDescent="0.3">
      <c r="A32" s="74"/>
      <c r="B32" s="54"/>
      <c r="C32"/>
      <c r="D32"/>
      <c r="K32" s="163"/>
    </row>
    <row r="33" spans="1:4" x14ac:dyDescent="0.3">
      <c r="A33"/>
      <c r="D33"/>
    </row>
    <row r="34" spans="1:4" x14ac:dyDescent="0.3">
      <c r="A34"/>
      <c r="D34"/>
    </row>
    <row r="35" spans="1:4" x14ac:dyDescent="0.3">
      <c r="A35"/>
    </row>
    <row r="36" spans="1:4" x14ac:dyDescent="0.3">
      <c r="A36"/>
    </row>
    <row r="37" spans="1:4" x14ac:dyDescent="0.3">
      <c r="A37"/>
    </row>
    <row r="38" spans="1:4" x14ac:dyDescent="0.3">
      <c r="A38"/>
    </row>
    <row r="39" spans="1:4" x14ac:dyDescent="0.3">
      <c r="A39"/>
    </row>
    <row r="43" spans="1:4" x14ac:dyDescent="0.3">
      <c r="A43" s="30"/>
    </row>
  </sheetData>
  <mergeCells count="3">
    <mergeCell ref="A1:C1"/>
    <mergeCell ref="F1:H1"/>
    <mergeCell ref="B5:C5"/>
  </mergeCells>
  <pageMargins left="0.7" right="0.7" top="0.75" bottom="0.75" header="0.3" footer="0.3"/>
  <pageSetup paperSize="9" scale="74" orientation="landscape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FC1A0-B466-44F6-90E6-D25F3439C36A}">
  <sheetPr>
    <tabColor rgb="FFFFFF00"/>
  </sheetPr>
  <dimension ref="A1:Q32"/>
  <sheetViews>
    <sheetView zoomScale="90" zoomScaleNormal="90" workbookViewId="0">
      <selection activeCell="M18" sqref="M18"/>
    </sheetView>
  </sheetViews>
  <sheetFormatPr defaultColWidth="9.109375" defaultRowHeight="14.4" x14ac:dyDescent="0.3"/>
  <cols>
    <col min="1" max="1" width="56.5546875" customWidth="1"/>
    <col min="2" max="2" width="14.5546875" customWidth="1"/>
    <col min="3" max="3" width="24.33203125" customWidth="1"/>
    <col min="4" max="4" width="10.109375" bestFit="1" customWidth="1"/>
    <col min="6" max="6" width="21.5546875" bestFit="1" customWidth="1"/>
    <col min="7" max="7" width="15" hidden="1" customWidth="1"/>
    <col min="8" max="8" width="14.44140625" bestFit="1" customWidth="1"/>
    <col min="10" max="10" width="22.109375" customWidth="1"/>
    <col min="11" max="11" width="10.44140625" customWidth="1"/>
  </cols>
  <sheetData>
    <row r="1" spans="1:15" ht="15" thickBot="1" x14ac:dyDescent="0.35">
      <c r="A1" s="303" t="s">
        <v>119</v>
      </c>
      <c r="B1" s="304"/>
      <c r="C1" s="304"/>
      <c r="F1" s="305" t="s">
        <v>60</v>
      </c>
      <c r="G1" s="306"/>
      <c r="H1" s="307"/>
      <c r="I1">
        <v>1</v>
      </c>
      <c r="J1" s="299" t="s">
        <v>472</v>
      </c>
    </row>
    <row r="2" spans="1:15" x14ac:dyDescent="0.3">
      <c r="I2">
        <v>2</v>
      </c>
      <c r="J2" s="299" t="s">
        <v>473</v>
      </c>
    </row>
    <row r="3" spans="1:15" ht="15.6" x14ac:dyDescent="0.3">
      <c r="B3" s="13" t="s">
        <v>56</v>
      </c>
      <c r="C3" s="13" t="s">
        <v>57</v>
      </c>
      <c r="G3" s="13" t="s">
        <v>56</v>
      </c>
      <c r="H3" s="13" t="s">
        <v>57</v>
      </c>
      <c r="I3">
        <v>3</v>
      </c>
      <c r="J3" s="299" t="s">
        <v>474</v>
      </c>
      <c r="K3" s="16"/>
    </row>
    <row r="4" spans="1:15" x14ac:dyDescent="0.3">
      <c r="F4" t="s">
        <v>46</v>
      </c>
      <c r="G4" s="8">
        <v>13574.38</v>
      </c>
      <c r="H4" s="9">
        <v>16481.509999999998</v>
      </c>
      <c r="I4">
        <v>4</v>
      </c>
      <c r="J4" s="299" t="s">
        <v>475</v>
      </c>
    </row>
    <row r="5" spans="1:15" x14ac:dyDescent="0.3">
      <c r="A5" s="1" t="s">
        <v>58</v>
      </c>
      <c r="B5" s="308">
        <f>+H4</f>
        <v>16481.509999999998</v>
      </c>
      <c r="C5" s="308"/>
      <c r="F5" t="s">
        <v>55</v>
      </c>
      <c r="G5" s="8">
        <v>2835</v>
      </c>
      <c r="H5" s="8">
        <f>+H29*7</f>
        <v>3217.6200000000003</v>
      </c>
      <c r="I5">
        <v>5</v>
      </c>
      <c r="J5" s="299" t="s">
        <v>476</v>
      </c>
    </row>
    <row r="6" spans="1:15" ht="15.6" x14ac:dyDescent="0.3">
      <c r="A6" s="1" t="s">
        <v>65</v>
      </c>
      <c r="B6" s="4">
        <v>0</v>
      </c>
      <c r="C6" s="26">
        <v>7</v>
      </c>
      <c r="F6" s="10" t="s">
        <v>47</v>
      </c>
      <c r="G6" s="11">
        <f>SUM(G4:G5)</f>
        <v>16409.379999999997</v>
      </c>
      <c r="H6" s="11">
        <f>SUM(H4:H5)</f>
        <v>19699.129999999997</v>
      </c>
      <c r="I6">
        <v>6</v>
      </c>
      <c r="J6" s="299" t="s">
        <v>477</v>
      </c>
    </row>
    <row r="7" spans="1:15" x14ac:dyDescent="0.3">
      <c r="A7" s="1" t="s">
        <v>59</v>
      </c>
      <c r="B7" s="15">
        <f>+$G$29*B6</f>
        <v>0</v>
      </c>
      <c r="C7" s="15">
        <f>+H5</f>
        <v>3217.6200000000003</v>
      </c>
      <c r="I7">
        <v>7</v>
      </c>
      <c r="J7" s="299" t="s">
        <v>478</v>
      </c>
      <c r="K7" s="205"/>
      <c r="L7" s="205"/>
      <c r="M7" s="205"/>
    </row>
    <row r="8" spans="1:15" x14ac:dyDescent="0.3">
      <c r="F8" t="s">
        <v>48</v>
      </c>
      <c r="G8" s="9">
        <v>2900</v>
      </c>
      <c r="H8" s="9">
        <v>2610</v>
      </c>
      <c r="I8">
        <v>8</v>
      </c>
      <c r="J8" s="299" t="s">
        <v>479</v>
      </c>
      <c r="K8" s="182"/>
    </row>
    <row r="9" spans="1:15" x14ac:dyDescent="0.3">
      <c r="A9" s="1" t="s">
        <v>63</v>
      </c>
      <c r="B9" s="4">
        <v>0</v>
      </c>
      <c r="C9" s="4">
        <v>6</v>
      </c>
      <c r="D9" s="24">
        <f>+C6+C9</f>
        <v>13</v>
      </c>
      <c r="F9" t="s">
        <v>54</v>
      </c>
      <c r="G9" s="12">
        <v>405</v>
      </c>
      <c r="H9" s="12">
        <f>+H29</f>
        <v>459.66</v>
      </c>
      <c r="I9">
        <v>9</v>
      </c>
      <c r="J9" s="299" t="s">
        <v>480</v>
      </c>
      <c r="K9" s="188"/>
      <c r="O9" s="70" t="s">
        <v>169</v>
      </c>
    </row>
    <row r="10" spans="1:15" ht="15.6" x14ac:dyDescent="0.3">
      <c r="A10" s="1" t="s">
        <v>62</v>
      </c>
      <c r="B10" s="15">
        <f>+$G$30*B9</f>
        <v>0</v>
      </c>
      <c r="C10" s="15">
        <f>+$H$30*C9</f>
        <v>15660</v>
      </c>
      <c r="F10" s="10" t="s">
        <v>49</v>
      </c>
      <c r="G10" s="11">
        <f>+$G$6+G8+G9</f>
        <v>19714.379999999997</v>
      </c>
      <c r="H10" s="11">
        <f>+$H$6+H8+H9</f>
        <v>22768.789999999997</v>
      </c>
      <c r="I10">
        <v>10</v>
      </c>
      <c r="J10" s="299" t="s">
        <v>481</v>
      </c>
      <c r="K10" s="182"/>
      <c r="O10" s="70" t="s">
        <v>170</v>
      </c>
    </row>
    <row r="11" spans="1:15" x14ac:dyDescent="0.3">
      <c r="A11" s="1" t="s">
        <v>67</v>
      </c>
      <c r="B11" s="15">
        <f>+$G$29*B9</f>
        <v>0</v>
      </c>
      <c r="C11" s="15">
        <f>+$H$29*C9</f>
        <v>2757.96</v>
      </c>
      <c r="I11">
        <v>11</v>
      </c>
      <c r="J11" s="299" t="s">
        <v>482</v>
      </c>
      <c r="K11" s="181"/>
    </row>
    <row r="12" spans="1:15" x14ac:dyDescent="0.3">
      <c r="F12" t="s">
        <v>50</v>
      </c>
      <c r="G12" s="9">
        <v>5800</v>
      </c>
      <c r="H12" s="9">
        <v>5220</v>
      </c>
      <c r="I12">
        <v>12</v>
      </c>
      <c r="J12" s="299" t="s">
        <v>483</v>
      </c>
      <c r="K12" s="189"/>
    </row>
    <row r="13" spans="1:15" x14ac:dyDescent="0.3">
      <c r="D13" s="18"/>
      <c r="F13" t="s">
        <v>54</v>
      </c>
      <c r="G13" s="12">
        <v>810</v>
      </c>
      <c r="H13" s="12">
        <f>+H29*2</f>
        <v>919.32</v>
      </c>
      <c r="I13">
        <v>13</v>
      </c>
      <c r="J13" s="299" t="s">
        <v>337</v>
      </c>
      <c r="K13" s="184"/>
    </row>
    <row r="14" spans="1:15" ht="15.6" x14ac:dyDescent="0.3">
      <c r="F14" s="10" t="s">
        <v>49</v>
      </c>
      <c r="G14" s="11">
        <f>+$G$6+G12+G13</f>
        <v>23019.379999999997</v>
      </c>
      <c r="H14" s="11">
        <f>+$H$6+H12+H13</f>
        <v>25838.449999999997</v>
      </c>
      <c r="J14">
        <f>13*150</f>
        <v>1950</v>
      </c>
      <c r="K14" s="157"/>
    </row>
    <row r="15" spans="1:15" x14ac:dyDescent="0.3">
      <c r="A15" s="1" t="s">
        <v>68</v>
      </c>
      <c r="B15" s="15">
        <f>+B10+C10</f>
        <v>15660</v>
      </c>
      <c r="C15" s="14"/>
      <c r="J15" s="167"/>
      <c r="K15" s="186"/>
    </row>
    <row r="16" spans="1:15" x14ac:dyDescent="0.3">
      <c r="A16" s="80" t="s">
        <v>66</v>
      </c>
      <c r="B16" s="81">
        <f>B7+C7+B11+C11</f>
        <v>5975.58</v>
      </c>
      <c r="C16" s="21"/>
      <c r="D16" s="17"/>
      <c r="F16" t="s">
        <v>51</v>
      </c>
      <c r="G16" s="9">
        <v>8700</v>
      </c>
      <c r="H16" s="9">
        <v>7830</v>
      </c>
      <c r="J16" s="167"/>
      <c r="K16" s="186"/>
    </row>
    <row r="17" spans="1:17" x14ac:dyDescent="0.3">
      <c r="C17" s="112"/>
      <c r="D17" s="112"/>
      <c r="F17" t="s">
        <v>54</v>
      </c>
      <c r="G17" s="12">
        <v>1215</v>
      </c>
      <c r="H17" s="12">
        <f>+H29*3</f>
        <v>1378.98</v>
      </c>
      <c r="J17" s="167"/>
      <c r="K17" s="185"/>
    </row>
    <row r="18" spans="1:17" ht="15.6" x14ac:dyDescent="0.3">
      <c r="A18" s="1" t="s">
        <v>69</v>
      </c>
      <c r="B18" s="248">
        <v>5600</v>
      </c>
      <c r="C18" s="309" t="s">
        <v>178</v>
      </c>
      <c r="D18" s="310"/>
      <c r="F18" s="10" t="s">
        <v>49</v>
      </c>
      <c r="G18" s="11">
        <f>+$G$6+G16+G17</f>
        <v>26324.379999999997</v>
      </c>
      <c r="H18" s="11">
        <f>+$H$6+H16+H17</f>
        <v>28908.109999999997</v>
      </c>
      <c r="J18" s="167" t="s">
        <v>177</v>
      </c>
      <c r="K18" s="185"/>
    </row>
    <row r="19" spans="1:17" ht="15" thickBot="1" x14ac:dyDescent="0.35">
      <c r="C19" s="112"/>
      <c r="D19" s="112"/>
      <c r="J19" s="153" t="s">
        <v>225</v>
      </c>
      <c r="K19" s="226">
        <v>1400</v>
      </c>
    </row>
    <row r="20" spans="1:17" ht="15" thickBot="1" x14ac:dyDescent="0.35">
      <c r="A20" s="146" t="s">
        <v>163</v>
      </c>
      <c r="B20" s="148">
        <f>D9*150</f>
        <v>1950</v>
      </c>
      <c r="C20" s="17" t="s">
        <v>165</v>
      </c>
      <c r="D20" s="112"/>
      <c r="F20" t="s">
        <v>52</v>
      </c>
      <c r="G20" s="9">
        <v>11600</v>
      </c>
      <c r="H20" s="9">
        <v>10440</v>
      </c>
      <c r="J20" s="102" t="s">
        <v>223</v>
      </c>
      <c r="K20" s="226">
        <v>1400</v>
      </c>
    </row>
    <row r="21" spans="1:17" x14ac:dyDescent="0.3">
      <c r="A21" s="144"/>
      <c r="B21" s="145"/>
      <c r="C21" t="s">
        <v>178</v>
      </c>
      <c r="D21" s="112"/>
      <c r="F21" t="s">
        <v>54</v>
      </c>
      <c r="G21" s="12">
        <v>1620</v>
      </c>
      <c r="H21" s="12">
        <f>+H29*4</f>
        <v>1838.64</v>
      </c>
      <c r="J21" s="102" t="s">
        <v>224</v>
      </c>
      <c r="K21" s="107">
        <v>1400</v>
      </c>
    </row>
    <row r="22" spans="1:17" ht="15.6" x14ac:dyDescent="0.3">
      <c r="A22" s="140"/>
      <c r="B22" s="141"/>
      <c r="D22" s="112"/>
      <c r="F22" s="10" t="s">
        <v>49</v>
      </c>
      <c r="G22" s="11">
        <f>+$G$6+G20+G21</f>
        <v>29629.379999999997</v>
      </c>
      <c r="H22" s="11">
        <f>+$H$6+H20+H21</f>
        <v>31977.769999999997</v>
      </c>
      <c r="J22" s="102" t="s">
        <v>226</v>
      </c>
      <c r="K22" s="226">
        <v>1400</v>
      </c>
    </row>
    <row r="23" spans="1:17" x14ac:dyDescent="0.3">
      <c r="A23" s="140"/>
      <c r="B23" s="141"/>
      <c r="C23" s="14"/>
      <c r="D23" s="112"/>
      <c r="J23" s="167"/>
      <c r="K23" s="185">
        <f>SUM(K19:K22)</f>
        <v>5600</v>
      </c>
    </row>
    <row r="24" spans="1:17" ht="15" thickBot="1" x14ac:dyDescent="0.35">
      <c r="A24" s="142"/>
      <c r="B24" s="143"/>
      <c r="C24" s="88"/>
      <c r="D24" s="112"/>
      <c r="F24" t="s">
        <v>53</v>
      </c>
      <c r="G24" s="9">
        <v>14500</v>
      </c>
      <c r="H24" s="9">
        <v>13050</v>
      </c>
      <c r="J24" s="167"/>
      <c r="K24" s="166"/>
    </row>
    <row r="25" spans="1:17" ht="15" thickBot="1" x14ac:dyDescent="0.35">
      <c r="C25" s="90"/>
      <c r="D25" s="112"/>
      <c r="F25" t="s">
        <v>54</v>
      </c>
      <c r="G25" s="12">
        <v>2025</v>
      </c>
      <c r="H25" s="12">
        <f>+H29*5</f>
        <v>2298.3000000000002</v>
      </c>
      <c r="J25" s="268" t="s">
        <v>265</v>
      </c>
      <c r="K25" s="270"/>
      <c r="L25" s="247"/>
      <c r="M25" s="247"/>
      <c r="N25" s="247"/>
      <c r="O25" s="247"/>
      <c r="P25" s="247"/>
      <c r="Q25" s="247"/>
    </row>
    <row r="26" spans="1:17" ht="16.2" thickBot="1" x14ac:dyDescent="0.35">
      <c r="A26" s="146" t="s">
        <v>164</v>
      </c>
      <c r="B26" s="147">
        <f>B27+B28+B29+B30</f>
        <v>200</v>
      </c>
      <c r="C26" s="17" t="s">
        <v>165</v>
      </c>
      <c r="D26" s="112"/>
      <c r="F26" s="10" t="s">
        <v>49</v>
      </c>
      <c r="G26" s="11">
        <f>+$G$6+G24+G25</f>
        <v>32934.379999999997</v>
      </c>
      <c r="H26" s="11">
        <f>+$H$6+H24+H25</f>
        <v>35047.43</v>
      </c>
      <c r="J26" s="261" t="s">
        <v>279</v>
      </c>
      <c r="K26" s="261">
        <v>97</v>
      </c>
      <c r="L26" s="261" t="s">
        <v>257</v>
      </c>
      <c r="M26" s="261">
        <v>39.22</v>
      </c>
      <c r="N26" s="262" t="s">
        <v>307</v>
      </c>
      <c r="O26" s="261" t="s">
        <v>308</v>
      </c>
      <c r="P26" s="261" t="s">
        <v>261</v>
      </c>
      <c r="Q26" s="24">
        <v>200</v>
      </c>
    </row>
    <row r="27" spans="1:17" x14ac:dyDescent="0.3">
      <c r="A27" s="144" t="s">
        <v>167</v>
      </c>
      <c r="B27" s="145"/>
      <c r="C27" s="112"/>
      <c r="D27" s="112"/>
      <c r="J27" s="193"/>
      <c r="K27" s="168"/>
    </row>
    <row r="28" spans="1:17" x14ac:dyDescent="0.3">
      <c r="A28" s="140" t="s">
        <v>173</v>
      </c>
      <c r="B28" s="284">
        <v>200</v>
      </c>
      <c r="C28" s="112" t="s">
        <v>178</v>
      </c>
      <c r="D28" s="112"/>
    </row>
    <row r="29" spans="1:17" x14ac:dyDescent="0.3">
      <c r="A29" s="140"/>
      <c r="B29" s="141"/>
      <c r="C29" s="112"/>
      <c r="D29" s="112"/>
      <c r="F29" t="s">
        <v>61</v>
      </c>
      <c r="G29" s="14">
        <v>405</v>
      </c>
      <c r="H29" s="14">
        <v>459.66</v>
      </c>
    </row>
    <row r="30" spans="1:17" ht="15" thickBot="1" x14ac:dyDescent="0.35">
      <c r="A30" s="142"/>
      <c r="B30" s="143"/>
      <c r="F30" t="s">
        <v>64</v>
      </c>
      <c r="G30" s="14">
        <v>2900</v>
      </c>
      <c r="H30" s="14">
        <v>2610</v>
      </c>
    </row>
    <row r="32" spans="1:17" x14ac:dyDescent="0.3">
      <c r="C32" t="s">
        <v>45</v>
      </c>
    </row>
  </sheetData>
  <mergeCells count="4">
    <mergeCell ref="A1:C1"/>
    <mergeCell ref="F1:H1"/>
    <mergeCell ref="B5:C5"/>
    <mergeCell ref="C18:D18"/>
  </mergeCells>
  <pageMargins left="0.7" right="0.7" top="0.75" bottom="0.75" header="0.3" footer="0.3"/>
  <pageSetup paperSize="9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F6C1B-C9AB-48E3-82E4-03D3B7724071}">
  <sheetPr>
    <tabColor rgb="FFFFFF00"/>
    <pageSetUpPr fitToPage="1"/>
  </sheetPr>
  <dimension ref="A1:T43"/>
  <sheetViews>
    <sheetView workbookViewId="0">
      <selection activeCell="L16" sqref="L16"/>
    </sheetView>
  </sheetViews>
  <sheetFormatPr defaultRowHeight="14.4" x14ac:dyDescent="0.3"/>
  <cols>
    <col min="1" max="1" width="48.6640625" style="28" customWidth="1"/>
    <col min="2" max="2" width="14.109375" style="27" bestFit="1" customWidth="1"/>
    <col min="3" max="3" width="13.5546875" style="27" bestFit="1" customWidth="1"/>
    <col min="4" max="5" width="9.109375" style="27"/>
    <col min="6" max="6" width="19.5546875" style="27" bestFit="1" customWidth="1"/>
    <col min="7" max="7" width="14.109375" style="27" hidden="1" customWidth="1"/>
    <col min="8" max="8" width="13.5546875" style="27" bestFit="1" customWidth="1"/>
    <col min="12" max="12" width="16.88671875" customWidth="1"/>
  </cols>
  <sheetData>
    <row r="1" spans="1:15" ht="15" thickBot="1" x14ac:dyDescent="0.35">
      <c r="A1" s="303" t="s">
        <v>193</v>
      </c>
      <c r="B1" s="304"/>
      <c r="C1" s="304"/>
      <c r="D1"/>
      <c r="E1"/>
      <c r="F1" s="305" t="s">
        <v>60</v>
      </c>
      <c r="G1" s="306"/>
      <c r="H1" s="307"/>
      <c r="K1">
        <v>1</v>
      </c>
      <c r="L1" s="133" t="s">
        <v>484</v>
      </c>
    </row>
    <row r="2" spans="1:15" x14ac:dyDescent="0.3">
      <c r="A2" s="303"/>
      <c r="B2" s="304"/>
      <c r="C2" s="304"/>
      <c r="D2"/>
      <c r="E2"/>
      <c r="F2"/>
      <c r="G2"/>
      <c r="H2"/>
      <c r="K2">
        <v>2</v>
      </c>
      <c r="L2" s="76" t="s">
        <v>485</v>
      </c>
    </row>
    <row r="3" spans="1:15" ht="15.6" x14ac:dyDescent="0.3">
      <c r="A3"/>
      <c r="B3" s="13" t="s">
        <v>56</v>
      </c>
      <c r="C3" s="13" t="s">
        <v>57</v>
      </c>
      <c r="D3"/>
      <c r="E3"/>
      <c r="F3"/>
      <c r="G3" s="13" t="s">
        <v>56</v>
      </c>
      <c r="H3" s="13" t="s">
        <v>57</v>
      </c>
      <c r="K3">
        <v>3</v>
      </c>
      <c r="L3" s="133" t="s">
        <v>486</v>
      </c>
    </row>
    <row r="4" spans="1:15" x14ac:dyDescent="0.3">
      <c r="A4"/>
      <c r="B4"/>
      <c r="C4"/>
      <c r="D4"/>
      <c r="E4"/>
      <c r="F4" t="s">
        <v>46</v>
      </c>
      <c r="G4" s="8">
        <v>13574.38</v>
      </c>
      <c r="H4" s="9">
        <v>16481.580000000002</v>
      </c>
      <c r="K4">
        <v>4</v>
      </c>
      <c r="L4" s="76" t="s">
        <v>487</v>
      </c>
    </row>
    <row r="5" spans="1:15" x14ac:dyDescent="0.3">
      <c r="A5" s="1" t="s">
        <v>58</v>
      </c>
      <c r="B5" s="308">
        <f>+H4</f>
        <v>16481.580000000002</v>
      </c>
      <c r="C5" s="308"/>
      <c r="D5"/>
      <c r="E5"/>
      <c r="F5" t="s">
        <v>55</v>
      </c>
      <c r="G5" s="8">
        <v>2835</v>
      </c>
      <c r="H5" s="8">
        <f>+H29*7</f>
        <v>3217.6200000000003</v>
      </c>
      <c r="K5">
        <v>5</v>
      </c>
      <c r="L5" s="133" t="s">
        <v>488</v>
      </c>
    </row>
    <row r="6" spans="1:15" ht="15.6" x14ac:dyDescent="0.3">
      <c r="A6" s="1" t="s">
        <v>65</v>
      </c>
      <c r="B6" s="4">
        <v>0</v>
      </c>
      <c r="C6" s="26">
        <v>7</v>
      </c>
      <c r="D6"/>
      <c r="E6"/>
      <c r="F6" s="10" t="s">
        <v>47</v>
      </c>
      <c r="G6" s="11">
        <f>SUM(G4:G5)</f>
        <v>16409.379999999997</v>
      </c>
      <c r="H6" s="11">
        <f>SUM(H4:H5)</f>
        <v>19699.2</v>
      </c>
      <c r="K6">
        <v>6</v>
      </c>
      <c r="L6" s="76" t="s">
        <v>489</v>
      </c>
    </row>
    <row r="7" spans="1:15" x14ac:dyDescent="0.3">
      <c r="A7" s="1" t="s">
        <v>59</v>
      </c>
      <c r="B7" s="15">
        <f>+$G$29*B6</f>
        <v>0</v>
      </c>
      <c r="C7" s="15">
        <f>+H5</f>
        <v>3217.6200000000003</v>
      </c>
      <c r="D7"/>
      <c r="E7"/>
      <c r="F7"/>
      <c r="G7"/>
      <c r="H7"/>
      <c r="K7">
        <v>7</v>
      </c>
      <c r="L7" s="76" t="s">
        <v>490</v>
      </c>
    </row>
    <row r="8" spans="1:15" x14ac:dyDescent="0.3">
      <c r="A8"/>
      <c r="B8"/>
      <c r="C8"/>
      <c r="D8"/>
      <c r="E8"/>
      <c r="F8" t="s">
        <v>48</v>
      </c>
      <c r="G8" s="9">
        <v>2900</v>
      </c>
      <c r="H8" s="9">
        <v>2610</v>
      </c>
      <c r="K8">
        <v>8</v>
      </c>
      <c r="L8" s="133" t="s">
        <v>491</v>
      </c>
    </row>
    <row r="9" spans="1:15" x14ac:dyDescent="0.3">
      <c r="A9" s="1" t="s">
        <v>63</v>
      </c>
      <c r="B9" s="4">
        <v>0</v>
      </c>
      <c r="C9" s="4">
        <v>6</v>
      </c>
      <c r="D9" s="24">
        <f>+C6+C9</f>
        <v>13</v>
      </c>
      <c r="E9"/>
      <c r="F9" t="s">
        <v>54</v>
      </c>
      <c r="G9" s="12">
        <v>405</v>
      </c>
      <c r="H9" s="12">
        <f>+H29</f>
        <v>459.66</v>
      </c>
      <c r="K9">
        <v>9</v>
      </c>
      <c r="L9" s="133" t="s">
        <v>492</v>
      </c>
    </row>
    <row r="10" spans="1:15" ht="15.6" x14ac:dyDescent="0.3">
      <c r="A10" s="1" t="s">
        <v>62</v>
      </c>
      <c r="B10" s="15">
        <f>+$G$30*B9</f>
        <v>0</v>
      </c>
      <c r="C10" s="15">
        <f>+$H$30*C9</f>
        <v>15660</v>
      </c>
      <c r="D10"/>
      <c r="E10"/>
      <c r="F10" s="10" t="s">
        <v>49</v>
      </c>
      <c r="G10" s="11">
        <f>+$G$6+G8+G9</f>
        <v>19714.379999999997</v>
      </c>
      <c r="H10" s="11">
        <f>+$H$6+H8+H9</f>
        <v>22768.86</v>
      </c>
      <c r="K10">
        <v>10</v>
      </c>
      <c r="L10" s="76" t="s">
        <v>493</v>
      </c>
    </row>
    <row r="11" spans="1:15" x14ac:dyDescent="0.3">
      <c r="A11" s="1" t="s">
        <v>67</v>
      </c>
      <c r="B11" s="15">
        <f>+$G$29*B9</f>
        <v>0</v>
      </c>
      <c r="C11" s="15">
        <f>+$H$29*C9</f>
        <v>2757.96</v>
      </c>
      <c r="D11"/>
      <c r="E11"/>
      <c r="F11"/>
      <c r="G11"/>
      <c r="H11"/>
      <c r="K11">
        <v>11</v>
      </c>
      <c r="L11" s="76" t="s">
        <v>494</v>
      </c>
      <c r="O11" s="70" t="s">
        <v>169</v>
      </c>
    </row>
    <row r="12" spans="1:15" x14ac:dyDescent="0.3">
      <c r="A12"/>
      <c r="B12"/>
      <c r="C12"/>
      <c r="D12"/>
      <c r="E12"/>
      <c r="F12" t="s">
        <v>50</v>
      </c>
      <c r="G12" s="9">
        <v>5800</v>
      </c>
      <c r="H12" s="9">
        <v>5220</v>
      </c>
      <c r="K12">
        <v>12</v>
      </c>
      <c r="L12" s="133" t="s">
        <v>337</v>
      </c>
      <c r="O12" s="70" t="s">
        <v>170</v>
      </c>
    </row>
    <row r="13" spans="1:15" x14ac:dyDescent="0.3">
      <c r="A13"/>
      <c r="B13"/>
      <c r="C13"/>
      <c r="D13"/>
      <c r="E13"/>
      <c r="F13" t="s">
        <v>54</v>
      </c>
      <c r="G13" s="12">
        <v>810</v>
      </c>
      <c r="H13" s="12">
        <f>+H29*2</f>
        <v>919.32</v>
      </c>
      <c r="K13">
        <v>13</v>
      </c>
      <c r="L13" s="296" t="s">
        <v>337</v>
      </c>
    </row>
    <row r="14" spans="1:15" ht="15.6" x14ac:dyDescent="0.3">
      <c r="A14"/>
      <c r="B14"/>
      <c r="C14"/>
      <c r="D14"/>
      <c r="E14"/>
      <c r="F14" s="10" t="s">
        <v>49</v>
      </c>
      <c r="G14" s="11">
        <f>+$G$6+G12+G13</f>
        <v>23019.379999999997</v>
      </c>
      <c r="H14" s="11">
        <f>+$H$6+H12+H13</f>
        <v>25838.52</v>
      </c>
      <c r="L14" s="235"/>
    </row>
    <row r="15" spans="1:15" x14ac:dyDescent="0.3">
      <c r="A15" s="1" t="s">
        <v>68</v>
      </c>
      <c r="B15" s="15">
        <f>+B10+C10</f>
        <v>15660</v>
      </c>
      <c r="C15" s="14"/>
      <c r="D15"/>
      <c r="E15"/>
      <c r="F15"/>
      <c r="G15"/>
      <c r="H15"/>
      <c r="L15" s="236"/>
    </row>
    <row r="16" spans="1:15" x14ac:dyDescent="0.3">
      <c r="A16" s="80" t="s">
        <v>66</v>
      </c>
      <c r="B16" s="81">
        <f>B7+C7+B11+C11</f>
        <v>5975.58</v>
      </c>
      <c r="C16" s="17"/>
      <c r="D16" s="21"/>
      <c r="E16"/>
      <c r="F16" t="s">
        <v>51</v>
      </c>
      <c r="G16" s="9">
        <v>8700</v>
      </c>
      <c r="H16" s="9">
        <v>7830</v>
      </c>
      <c r="L16" s="236">
        <f>13*150</f>
        <v>1950</v>
      </c>
    </row>
    <row r="17" spans="1:20" x14ac:dyDescent="0.3">
      <c r="A17"/>
      <c r="B17"/>
      <c r="C17"/>
      <c r="D17"/>
      <c r="E17"/>
      <c r="F17" t="s">
        <v>54</v>
      </c>
      <c r="G17" s="12">
        <v>1215</v>
      </c>
      <c r="H17" s="12">
        <f>+H29*3</f>
        <v>1378.98</v>
      </c>
      <c r="K17" s="207"/>
    </row>
    <row r="18" spans="1:20" ht="15.6" x14ac:dyDescent="0.3">
      <c r="A18" s="1" t="s">
        <v>69</v>
      </c>
      <c r="B18" s="248">
        <v>5600</v>
      </c>
      <c r="C18" s="20" t="s">
        <v>178</v>
      </c>
      <c r="D18"/>
      <c r="E18"/>
      <c r="F18" s="10" t="s">
        <v>49</v>
      </c>
      <c r="G18" s="11">
        <f>+$G$6+G16+G17</f>
        <v>26324.379999999997</v>
      </c>
      <c r="H18" s="11">
        <f>+$H$6+H16+H17</f>
        <v>28908.18</v>
      </c>
      <c r="K18" s="208"/>
    </row>
    <row r="19" spans="1:20" ht="15" thickBot="1" x14ac:dyDescent="0.35">
      <c r="A19" s="17"/>
      <c r="B19"/>
      <c r="C19"/>
      <c r="D19"/>
      <c r="E19"/>
      <c r="F19"/>
      <c r="G19"/>
      <c r="H19"/>
      <c r="K19" s="207"/>
    </row>
    <row r="20" spans="1:20" ht="15" thickBot="1" x14ac:dyDescent="0.35">
      <c r="A20" s="146" t="s">
        <v>163</v>
      </c>
      <c r="B20" s="148">
        <f>D9*150</f>
        <v>1950</v>
      </c>
      <c r="C20" s="17" t="s">
        <v>165</v>
      </c>
      <c r="D20" s="17"/>
      <c r="E20" s="17"/>
      <c r="F20" t="s">
        <v>52</v>
      </c>
      <c r="G20" s="9">
        <v>11600</v>
      </c>
      <c r="H20" s="9">
        <v>10440</v>
      </c>
      <c r="K20" s="207"/>
      <c r="L20" s="27" t="s">
        <v>177</v>
      </c>
    </row>
    <row r="21" spans="1:20" x14ac:dyDescent="0.3">
      <c r="A21" s="144"/>
      <c r="B21" s="145"/>
      <c r="C21" t="s">
        <v>178</v>
      </c>
      <c r="D21" s="17"/>
      <c r="E21" s="17"/>
      <c r="F21" t="s">
        <v>54</v>
      </c>
      <c r="G21" s="12">
        <v>1620</v>
      </c>
      <c r="H21" s="12">
        <f>+H29*4</f>
        <v>1838.64</v>
      </c>
      <c r="K21" s="207"/>
      <c r="L21" s="153" t="s">
        <v>225</v>
      </c>
      <c r="M21" s="226">
        <v>1400</v>
      </c>
    </row>
    <row r="22" spans="1:20" ht="15.6" x14ac:dyDescent="0.3">
      <c r="A22" s="140"/>
      <c r="B22" s="141"/>
      <c r="C22"/>
      <c r="D22" s="17"/>
      <c r="E22"/>
      <c r="F22" s="10" t="s">
        <v>49</v>
      </c>
      <c r="G22" s="11">
        <f>+$G$6+G20+G21</f>
        <v>29629.379999999997</v>
      </c>
      <c r="H22" s="11">
        <f>+$H$6+H20+H21</f>
        <v>31977.84</v>
      </c>
      <c r="K22" s="207"/>
      <c r="L22" s="102" t="s">
        <v>223</v>
      </c>
      <c r="M22" s="226">
        <v>1400</v>
      </c>
    </row>
    <row r="23" spans="1:20" x14ac:dyDescent="0.3">
      <c r="A23" s="140"/>
      <c r="B23" s="141"/>
      <c r="C23" s="14"/>
      <c r="D23" s="17"/>
      <c r="E23"/>
      <c r="F23"/>
      <c r="G23"/>
      <c r="H23"/>
      <c r="K23" s="207"/>
      <c r="L23" s="102" t="s">
        <v>224</v>
      </c>
      <c r="M23" s="107">
        <v>1400</v>
      </c>
    </row>
    <row r="24" spans="1:20" ht="15" thickBot="1" x14ac:dyDescent="0.35">
      <c r="A24" s="142"/>
      <c r="B24" s="143"/>
      <c r="C24" s="88"/>
      <c r="D24" s="17"/>
      <c r="E24"/>
      <c r="F24" t="s">
        <v>53</v>
      </c>
      <c r="G24" s="9">
        <v>14500</v>
      </c>
      <c r="H24" s="9">
        <v>13050</v>
      </c>
      <c r="K24" s="207"/>
      <c r="L24" s="102" t="s">
        <v>226</v>
      </c>
      <c r="M24" s="226">
        <v>1400</v>
      </c>
    </row>
    <row r="25" spans="1:20" ht="15" thickBot="1" x14ac:dyDescent="0.35">
      <c r="A25"/>
      <c r="B25"/>
      <c r="C25" s="90"/>
      <c r="D25"/>
      <c r="E25"/>
      <c r="F25" t="s">
        <v>54</v>
      </c>
      <c r="G25" s="12">
        <v>2025</v>
      </c>
      <c r="H25" s="12">
        <f>+H29*5</f>
        <v>2298.3000000000002</v>
      </c>
      <c r="K25" s="207"/>
      <c r="L25" s="27"/>
      <c r="M25">
        <f>SUM(M21:M24)</f>
        <v>5600</v>
      </c>
    </row>
    <row r="26" spans="1:20" ht="16.2" thickBot="1" x14ac:dyDescent="0.35">
      <c r="A26" s="146" t="s">
        <v>164</v>
      </c>
      <c r="B26" s="147">
        <f>SUM(B27:B30)</f>
        <v>800</v>
      </c>
      <c r="C26" s="17" t="s">
        <v>165</v>
      </c>
      <c r="D26"/>
      <c r="E26"/>
      <c r="F26" s="10" t="s">
        <v>49</v>
      </c>
      <c r="G26" s="11">
        <f>+$G$6+G24+G25</f>
        <v>32934.379999999997</v>
      </c>
      <c r="H26" s="11">
        <f>+$H$6+H24+H25</f>
        <v>35047.5</v>
      </c>
      <c r="K26" s="209"/>
      <c r="L26" s="27"/>
    </row>
    <row r="27" spans="1:20" x14ac:dyDescent="0.3">
      <c r="A27" s="144" t="s">
        <v>167</v>
      </c>
      <c r="B27" s="145"/>
      <c r="C27"/>
      <c r="D27"/>
      <c r="E27"/>
      <c r="F27"/>
      <c r="G27"/>
      <c r="H27"/>
      <c r="K27" s="210"/>
      <c r="L27" s="264" t="s">
        <v>265</v>
      </c>
      <c r="M27" s="247"/>
      <c r="N27" s="247"/>
      <c r="O27" s="247"/>
      <c r="P27" s="247"/>
      <c r="Q27" s="247"/>
      <c r="R27" s="247"/>
      <c r="S27" s="247"/>
      <c r="T27" s="247"/>
    </row>
    <row r="28" spans="1:20" x14ac:dyDescent="0.3">
      <c r="A28" s="140" t="s">
        <v>173</v>
      </c>
      <c r="B28" s="284">
        <f>200*4</f>
        <v>800</v>
      </c>
      <c r="C28" t="s">
        <v>178</v>
      </c>
      <c r="D28"/>
      <c r="E28"/>
      <c r="F28"/>
      <c r="G28"/>
      <c r="H28"/>
      <c r="K28" s="210"/>
      <c r="L28" s="261" t="s">
        <v>279</v>
      </c>
      <c r="M28" s="261"/>
      <c r="N28" s="261" t="s">
        <v>257</v>
      </c>
      <c r="O28" s="261">
        <v>38.76</v>
      </c>
      <c r="P28" s="262" t="s">
        <v>309</v>
      </c>
      <c r="Q28" s="261" t="s">
        <v>310</v>
      </c>
      <c r="R28" s="261" t="s">
        <v>261</v>
      </c>
      <c r="S28" s="24">
        <v>200</v>
      </c>
      <c r="T28" s="247"/>
    </row>
    <row r="29" spans="1:20" x14ac:dyDescent="0.3">
      <c r="A29" s="140"/>
      <c r="B29" s="141"/>
      <c r="C29"/>
      <c r="D29"/>
      <c r="E29"/>
      <c r="F29" t="s">
        <v>61</v>
      </c>
      <c r="G29" s="14">
        <v>405</v>
      </c>
      <c r="H29" s="14">
        <v>459.66</v>
      </c>
      <c r="K29" s="211"/>
      <c r="L29" s="261" t="s">
        <v>217</v>
      </c>
      <c r="M29" s="265"/>
      <c r="N29" s="261" t="s">
        <v>257</v>
      </c>
      <c r="O29" s="261">
        <v>40.380000000000003</v>
      </c>
      <c r="P29" s="262" t="s">
        <v>309</v>
      </c>
      <c r="Q29" s="261" t="s">
        <v>310</v>
      </c>
      <c r="R29" s="261" t="s">
        <v>261</v>
      </c>
      <c r="S29" s="24">
        <v>200</v>
      </c>
      <c r="T29" s="247"/>
    </row>
    <row r="30" spans="1:20" ht="15" thickBot="1" x14ac:dyDescent="0.35">
      <c r="A30" s="142"/>
      <c r="B30" s="143"/>
      <c r="C30"/>
      <c r="D30"/>
      <c r="E30"/>
      <c r="F30" t="s">
        <v>64</v>
      </c>
      <c r="G30" s="14">
        <v>2900</v>
      </c>
      <c r="H30" s="14">
        <v>2610</v>
      </c>
      <c r="K30" s="209"/>
      <c r="L30" s="261" t="s">
        <v>282</v>
      </c>
      <c r="M30" s="261"/>
      <c r="N30" s="261" t="s">
        <v>257</v>
      </c>
      <c r="O30" s="261">
        <v>33.159999999999997</v>
      </c>
      <c r="P30" s="262" t="s">
        <v>309</v>
      </c>
      <c r="Q30" s="261" t="s">
        <v>310</v>
      </c>
      <c r="R30" s="261" t="s">
        <v>261</v>
      </c>
      <c r="S30" s="24">
        <v>200</v>
      </c>
      <c r="T30" s="247"/>
    </row>
    <row r="31" spans="1:20" x14ac:dyDescent="0.3">
      <c r="A31"/>
      <c r="B31"/>
      <c r="C31"/>
      <c r="D31"/>
      <c r="E31"/>
      <c r="F31"/>
      <c r="G31"/>
      <c r="H31"/>
      <c r="K31" s="163"/>
      <c r="L31" s="261" t="s">
        <v>286</v>
      </c>
      <c r="M31" s="261"/>
      <c r="N31" s="261" t="s">
        <v>257</v>
      </c>
      <c r="O31" s="261">
        <v>35.18</v>
      </c>
      <c r="P31" s="262" t="s">
        <v>309</v>
      </c>
      <c r="Q31" s="261" t="s">
        <v>310</v>
      </c>
      <c r="R31" s="261" t="s">
        <v>261</v>
      </c>
      <c r="S31" s="24">
        <v>200</v>
      </c>
      <c r="T31" s="247"/>
    </row>
    <row r="32" spans="1:20" x14ac:dyDescent="0.3">
      <c r="A32" s="74"/>
      <c r="B32" s="54"/>
      <c r="C32"/>
      <c r="D32"/>
      <c r="K32" s="163"/>
      <c r="L32" s="247"/>
      <c r="M32" s="247"/>
      <c r="N32" s="247"/>
      <c r="O32" s="247"/>
      <c r="P32" s="247"/>
      <c r="Q32" s="247"/>
      <c r="R32" s="247"/>
      <c r="S32" s="269">
        <f>SUM(S28:S31)</f>
        <v>800</v>
      </c>
      <c r="T32" s="247"/>
    </row>
    <row r="33" spans="1:4" x14ac:dyDescent="0.3">
      <c r="A33"/>
      <c r="D33"/>
    </row>
    <row r="34" spans="1:4" x14ac:dyDescent="0.3">
      <c r="A34"/>
      <c r="D34"/>
    </row>
    <row r="35" spans="1:4" x14ac:dyDescent="0.3">
      <c r="A35"/>
    </row>
    <row r="36" spans="1:4" x14ac:dyDescent="0.3">
      <c r="A36"/>
    </row>
    <row r="37" spans="1:4" x14ac:dyDescent="0.3">
      <c r="A37"/>
    </row>
    <row r="38" spans="1:4" x14ac:dyDescent="0.3">
      <c r="A38"/>
    </row>
    <row r="39" spans="1:4" x14ac:dyDescent="0.3">
      <c r="A39"/>
    </row>
    <row r="43" spans="1:4" x14ac:dyDescent="0.3">
      <c r="A43" s="30"/>
    </row>
  </sheetData>
  <mergeCells count="4">
    <mergeCell ref="A1:C1"/>
    <mergeCell ref="F1:H1"/>
    <mergeCell ref="B5:C5"/>
    <mergeCell ref="A2:C2"/>
  </mergeCells>
  <pageMargins left="0.7" right="0.7" top="0.75" bottom="0.75" header="0.3" footer="0.3"/>
  <pageSetup paperSize="9" scale="74" orientation="landscape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651F-16FB-4297-9D85-084D22E2FC52}">
  <sheetPr>
    <tabColor rgb="FFFFFF00"/>
  </sheetPr>
  <dimension ref="A1:N30"/>
  <sheetViews>
    <sheetView zoomScaleNormal="100" workbookViewId="0">
      <selection activeCell="B20" sqref="B20"/>
    </sheetView>
  </sheetViews>
  <sheetFormatPr defaultColWidth="9.109375" defaultRowHeight="14.4" x14ac:dyDescent="0.3"/>
  <cols>
    <col min="1" max="1" width="51.5546875" bestFit="1" customWidth="1"/>
    <col min="2" max="2" width="14.5546875" customWidth="1"/>
    <col min="3" max="3" width="19.5546875" customWidth="1"/>
    <col min="5" max="5" width="14.5546875" customWidth="1"/>
    <col min="6" max="6" width="21.5546875" bestFit="1" customWidth="1"/>
    <col min="7" max="7" width="15" hidden="1" customWidth="1"/>
    <col min="8" max="8" width="14.44140625" bestFit="1" customWidth="1"/>
    <col min="10" max="10" width="19.5546875" customWidth="1"/>
  </cols>
  <sheetData>
    <row r="1" spans="1:14" ht="15" thickBot="1" x14ac:dyDescent="0.35">
      <c r="A1" s="303" t="s">
        <v>162</v>
      </c>
      <c r="B1" s="304"/>
      <c r="C1" s="304"/>
      <c r="F1" s="305" t="s">
        <v>60</v>
      </c>
      <c r="G1" s="306"/>
      <c r="H1" s="307"/>
      <c r="I1">
        <v>1</v>
      </c>
      <c r="J1" s="76" t="s">
        <v>495</v>
      </c>
    </row>
    <row r="2" spans="1:14" x14ac:dyDescent="0.3">
      <c r="I2">
        <v>2</v>
      </c>
      <c r="J2" s="133" t="s">
        <v>496</v>
      </c>
    </row>
    <row r="3" spans="1:14" ht="15.6" x14ac:dyDescent="0.3">
      <c r="B3" s="13" t="s">
        <v>56</v>
      </c>
      <c r="C3" s="13" t="s">
        <v>57</v>
      </c>
      <c r="G3" s="13" t="s">
        <v>56</v>
      </c>
      <c r="H3" s="13" t="s">
        <v>57</v>
      </c>
      <c r="I3">
        <v>3</v>
      </c>
      <c r="J3" s="111" t="s">
        <v>497</v>
      </c>
      <c r="K3" s="16"/>
    </row>
    <row r="4" spans="1:14" x14ac:dyDescent="0.3">
      <c r="F4" t="s">
        <v>46</v>
      </c>
      <c r="G4" s="8">
        <v>13574.38</v>
      </c>
      <c r="H4" s="9">
        <v>16481.55</v>
      </c>
      <c r="I4">
        <v>4</v>
      </c>
      <c r="J4" s="133" t="s">
        <v>498</v>
      </c>
    </row>
    <row r="5" spans="1:14" x14ac:dyDescent="0.3">
      <c r="A5" s="1" t="s">
        <v>58</v>
      </c>
      <c r="B5" s="308">
        <f>+H4</f>
        <v>16481.55</v>
      </c>
      <c r="C5" s="308"/>
      <c r="F5" t="s">
        <v>55</v>
      </c>
      <c r="G5" s="8">
        <v>2835</v>
      </c>
      <c r="H5" s="8">
        <f>+H29*7</f>
        <v>3217.6200000000003</v>
      </c>
      <c r="I5">
        <v>5</v>
      </c>
      <c r="J5" s="133" t="s">
        <v>499</v>
      </c>
    </row>
    <row r="6" spans="1:14" ht="15.6" x14ac:dyDescent="0.3">
      <c r="A6" s="1" t="s">
        <v>65</v>
      </c>
      <c r="B6" s="4"/>
      <c r="C6" s="26">
        <v>7</v>
      </c>
      <c r="F6" s="10" t="s">
        <v>47</v>
      </c>
      <c r="G6" s="11">
        <f>SUM(G4:G5)</f>
        <v>16409.379999999997</v>
      </c>
      <c r="H6" s="11">
        <f>SUM(H4:H5)</f>
        <v>19699.169999999998</v>
      </c>
      <c r="I6">
        <v>6</v>
      </c>
      <c r="J6" s="76" t="s">
        <v>500</v>
      </c>
      <c r="K6" s="174"/>
      <c r="L6" s="174"/>
      <c r="M6" s="174"/>
    </row>
    <row r="7" spans="1:14" x14ac:dyDescent="0.3">
      <c r="A7" s="1" t="s">
        <v>59</v>
      </c>
      <c r="B7" s="15">
        <f>+$G$29*B6</f>
        <v>0</v>
      </c>
      <c r="C7" s="15">
        <f>+H5</f>
        <v>3217.6200000000003</v>
      </c>
      <c r="I7">
        <v>7</v>
      </c>
      <c r="J7" s="76" t="s">
        <v>501</v>
      </c>
      <c r="K7" s="173"/>
    </row>
    <row r="8" spans="1:14" x14ac:dyDescent="0.3">
      <c r="F8" t="s">
        <v>48</v>
      </c>
      <c r="G8" s="9">
        <v>2900</v>
      </c>
      <c r="H8" s="9">
        <v>2610</v>
      </c>
      <c r="I8">
        <v>8</v>
      </c>
      <c r="J8" s="76" t="s">
        <v>502</v>
      </c>
      <c r="K8" s="169"/>
    </row>
    <row r="9" spans="1:14" x14ac:dyDescent="0.3">
      <c r="A9" s="1" t="s">
        <v>63</v>
      </c>
      <c r="B9" s="4">
        <v>0</v>
      </c>
      <c r="C9" s="4">
        <v>6</v>
      </c>
      <c r="D9" s="24">
        <f>+C6+C9</f>
        <v>13</v>
      </c>
      <c r="F9" t="s">
        <v>54</v>
      </c>
      <c r="G9" s="12">
        <v>405</v>
      </c>
      <c r="H9" s="12">
        <f>+H29</f>
        <v>459.66</v>
      </c>
      <c r="I9">
        <v>9</v>
      </c>
      <c r="J9" s="133" t="s">
        <v>503</v>
      </c>
      <c r="K9" s="169"/>
    </row>
    <row r="10" spans="1:14" ht="15.6" x14ac:dyDescent="0.3">
      <c r="A10" s="1" t="s">
        <v>62</v>
      </c>
      <c r="B10" s="15">
        <f>+$G$30*B9</f>
        <v>0</v>
      </c>
      <c r="C10" s="15">
        <f>+$H$30*C9</f>
        <v>15660</v>
      </c>
      <c r="F10" s="10" t="s">
        <v>49</v>
      </c>
      <c r="G10" s="11">
        <f>+$G$6+G8+G9</f>
        <v>19714.379999999997</v>
      </c>
      <c r="H10" s="11">
        <f>+$H$6+H8+H9</f>
        <v>22768.829999999998</v>
      </c>
      <c r="I10">
        <v>10</v>
      </c>
      <c r="J10" s="76" t="s">
        <v>504</v>
      </c>
      <c r="K10" s="173"/>
    </row>
    <row r="11" spans="1:14" x14ac:dyDescent="0.3">
      <c r="A11" s="1" t="s">
        <v>67</v>
      </c>
      <c r="B11" s="15">
        <f>+$G$29*B9</f>
        <v>0</v>
      </c>
      <c r="C11" s="15">
        <f>+$H$29*C9</f>
        <v>2757.96</v>
      </c>
      <c r="I11">
        <v>11</v>
      </c>
      <c r="J11" s="76" t="s">
        <v>505</v>
      </c>
      <c r="K11" s="86"/>
      <c r="N11" s="70" t="s">
        <v>169</v>
      </c>
    </row>
    <row r="12" spans="1:14" x14ac:dyDescent="0.3">
      <c r="F12" t="s">
        <v>50</v>
      </c>
      <c r="G12" s="9">
        <v>5800</v>
      </c>
      <c r="H12" s="9">
        <v>5220</v>
      </c>
      <c r="I12">
        <v>12</v>
      </c>
      <c r="J12" s="76" t="s">
        <v>337</v>
      </c>
      <c r="K12" s="176"/>
      <c r="N12" s="70" t="s">
        <v>170</v>
      </c>
    </row>
    <row r="13" spans="1:14" x14ac:dyDescent="0.3">
      <c r="D13" s="18"/>
      <c r="F13" t="s">
        <v>54</v>
      </c>
      <c r="G13" s="12">
        <v>810</v>
      </c>
      <c r="H13" s="12">
        <f>+H29*2</f>
        <v>919.32</v>
      </c>
      <c r="I13">
        <v>13</v>
      </c>
      <c r="J13" s="133" t="s">
        <v>337</v>
      </c>
    </row>
    <row r="14" spans="1:14" ht="15.6" x14ac:dyDescent="0.3">
      <c r="F14" s="10" t="s">
        <v>49</v>
      </c>
      <c r="G14" s="11">
        <f>+$G$6+G12+G13</f>
        <v>23019.379999999997</v>
      </c>
      <c r="H14" s="11">
        <f>+$H$6+H12+H13</f>
        <v>25838.489999999998</v>
      </c>
      <c r="J14" s="76">
        <f>13*150</f>
        <v>1950</v>
      </c>
    </row>
    <row r="15" spans="1:14" x14ac:dyDescent="0.3">
      <c r="A15" s="1" t="s">
        <v>68</v>
      </c>
      <c r="B15" s="15">
        <f>+B10+C10</f>
        <v>15660</v>
      </c>
      <c r="C15" s="20"/>
      <c r="D15" s="14"/>
      <c r="J15" s="167"/>
    </row>
    <row r="16" spans="1:14" x14ac:dyDescent="0.3">
      <c r="A16" s="80" t="s">
        <v>66</v>
      </c>
      <c r="B16" s="81">
        <f>B7+C7+B11+C11</f>
        <v>5975.58</v>
      </c>
      <c r="C16" s="21"/>
      <c r="D16" s="17"/>
      <c r="F16" t="s">
        <v>51</v>
      </c>
      <c r="G16" s="9">
        <v>8700</v>
      </c>
      <c r="H16" s="9">
        <v>7830</v>
      </c>
      <c r="J16" s="170" t="s">
        <v>230</v>
      </c>
    </row>
    <row r="17" spans="1:11" x14ac:dyDescent="0.3">
      <c r="F17" t="s">
        <v>54</v>
      </c>
      <c r="G17" s="12">
        <v>1215</v>
      </c>
      <c r="H17" s="12">
        <f>+H29*3</f>
        <v>1378.98</v>
      </c>
      <c r="J17" s="153" t="s">
        <v>229</v>
      </c>
      <c r="K17" s="226">
        <v>1300</v>
      </c>
    </row>
    <row r="18" spans="1:11" ht="15.6" x14ac:dyDescent="0.3">
      <c r="A18" s="1" t="s">
        <v>69</v>
      </c>
      <c r="B18" s="248">
        <v>5500</v>
      </c>
      <c r="C18" t="s">
        <v>178</v>
      </c>
      <c r="F18" s="10" t="s">
        <v>49</v>
      </c>
      <c r="G18" s="11">
        <f>+$G$6+G16+G17</f>
        <v>26324.379999999997</v>
      </c>
      <c r="H18" s="11">
        <f>+$H$6+H16+H17</f>
        <v>28908.149999999998</v>
      </c>
      <c r="J18" s="102" t="s">
        <v>223</v>
      </c>
      <c r="K18" s="226">
        <v>1400</v>
      </c>
    </row>
    <row r="19" spans="1:11" ht="15" thickBot="1" x14ac:dyDescent="0.35">
      <c r="A19" s="1"/>
      <c r="B19" s="1"/>
      <c r="C19" s="18"/>
      <c r="J19" s="102" t="s">
        <v>224</v>
      </c>
      <c r="K19" s="107">
        <v>1400</v>
      </c>
    </row>
    <row r="20" spans="1:11" ht="15" thickBot="1" x14ac:dyDescent="0.35">
      <c r="A20" s="146" t="s">
        <v>163</v>
      </c>
      <c r="B20" s="148">
        <f>D9*150</f>
        <v>1950</v>
      </c>
      <c r="C20" s="17" t="s">
        <v>165</v>
      </c>
      <c r="F20" t="s">
        <v>52</v>
      </c>
      <c r="G20" s="9">
        <v>11600</v>
      </c>
      <c r="H20" s="9">
        <v>10440</v>
      </c>
      <c r="J20" s="102" t="s">
        <v>226</v>
      </c>
      <c r="K20" s="226">
        <v>1400</v>
      </c>
    </row>
    <row r="21" spans="1:11" x14ac:dyDescent="0.3">
      <c r="A21" s="144"/>
      <c r="B21" s="145"/>
      <c r="C21" t="s">
        <v>178</v>
      </c>
      <c r="F21" t="s">
        <v>54</v>
      </c>
      <c r="G21" s="12">
        <v>1620</v>
      </c>
      <c r="H21" s="12">
        <f>+H29*4</f>
        <v>1838.64</v>
      </c>
      <c r="J21" s="166"/>
    </row>
    <row r="22" spans="1:11" ht="15.6" x14ac:dyDescent="0.3">
      <c r="A22" s="140"/>
      <c r="B22" s="141"/>
      <c r="F22" s="10" t="s">
        <v>49</v>
      </c>
      <c r="G22" s="11">
        <f>+$G$6+G20+G21</f>
        <v>29629.379999999997</v>
      </c>
      <c r="H22" s="11">
        <f>+$H$6+H20+H21</f>
        <v>31977.809999999998</v>
      </c>
      <c r="J22" s="167"/>
      <c r="K22">
        <f>SUM(K17:K21)</f>
        <v>5500</v>
      </c>
    </row>
    <row r="23" spans="1:11" x14ac:dyDescent="0.3">
      <c r="A23" s="140"/>
      <c r="B23" s="141"/>
      <c r="C23" s="14"/>
      <c r="J23" s="166"/>
    </row>
    <row r="24" spans="1:11" ht="15" thickBot="1" x14ac:dyDescent="0.35">
      <c r="A24" s="142"/>
      <c r="B24" s="143"/>
      <c r="C24" s="88"/>
      <c r="F24" t="s">
        <v>53</v>
      </c>
      <c r="G24" s="9">
        <v>14500</v>
      </c>
      <c r="H24" s="9">
        <v>13050</v>
      </c>
      <c r="J24" s="166"/>
    </row>
    <row r="25" spans="1:11" ht="15" thickBot="1" x14ac:dyDescent="0.35">
      <c r="C25" s="90"/>
      <c r="F25" t="s">
        <v>54</v>
      </c>
      <c r="G25" s="12">
        <v>2025</v>
      </c>
      <c r="H25" s="12">
        <f>+H29*5</f>
        <v>2298.3000000000002</v>
      </c>
      <c r="J25" s="166"/>
    </row>
    <row r="26" spans="1:11" ht="16.2" thickBot="1" x14ac:dyDescent="0.35">
      <c r="A26" s="146" t="s">
        <v>164</v>
      </c>
      <c r="B26" s="147">
        <f>SUM(B27:B30)</f>
        <v>0</v>
      </c>
      <c r="C26" s="17" t="s">
        <v>165</v>
      </c>
      <c r="F26" s="10" t="s">
        <v>49</v>
      </c>
      <c r="G26" s="11">
        <f>+$G$6+G24+G25</f>
        <v>32934.379999999997</v>
      </c>
      <c r="H26" s="11">
        <f>+$H$6+H24+H25</f>
        <v>35047.47</v>
      </c>
      <c r="J26" s="166"/>
    </row>
    <row r="27" spans="1:11" x14ac:dyDescent="0.3">
      <c r="A27" s="144" t="s">
        <v>168</v>
      </c>
      <c r="B27" s="145"/>
      <c r="J27" s="168"/>
    </row>
    <row r="28" spans="1:11" x14ac:dyDescent="0.3">
      <c r="A28" s="140"/>
      <c r="B28" s="141"/>
      <c r="J28" s="168"/>
    </row>
    <row r="29" spans="1:11" x14ac:dyDescent="0.3">
      <c r="A29" s="140"/>
      <c r="B29" s="141"/>
      <c r="F29" t="s">
        <v>61</v>
      </c>
      <c r="G29" s="14">
        <v>405</v>
      </c>
      <c r="H29" s="14">
        <v>459.66</v>
      </c>
    </row>
    <row r="30" spans="1:11" ht="15" thickBot="1" x14ac:dyDescent="0.35">
      <c r="A30" s="142"/>
      <c r="B30" s="143"/>
      <c r="F30" t="s">
        <v>64</v>
      </c>
      <c r="G30" s="14">
        <v>2900</v>
      </c>
      <c r="H30" s="14">
        <v>2610</v>
      </c>
    </row>
  </sheetData>
  <mergeCells count="3">
    <mergeCell ref="A1:C1"/>
    <mergeCell ref="F1:H1"/>
    <mergeCell ref="B5:C5"/>
  </mergeCells>
  <pageMargins left="0.7" right="0.7" top="0.75" bottom="0.75" header="0.3" footer="0.3"/>
  <pageSetup paperSize="9" orientation="portrait" horizontalDpi="4294967293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17B8B-FAD1-40B6-A1A7-7B5380E3E609}">
  <sheetPr>
    <tabColor rgb="FFFFFF00"/>
    <pageSetUpPr fitToPage="1"/>
  </sheetPr>
  <dimension ref="A1:P89"/>
  <sheetViews>
    <sheetView workbookViewId="0">
      <selection activeCell="J19" sqref="J19"/>
    </sheetView>
  </sheetViews>
  <sheetFormatPr defaultRowHeight="14.4" x14ac:dyDescent="0.3"/>
  <cols>
    <col min="1" max="1" width="51" style="28" customWidth="1"/>
    <col min="2" max="2" width="14.109375" style="27" bestFit="1" customWidth="1"/>
    <col min="3" max="3" width="13.5546875" style="27" bestFit="1" customWidth="1"/>
    <col min="4" max="5" width="9.109375" style="27"/>
    <col min="6" max="6" width="19.5546875" style="27" bestFit="1" customWidth="1"/>
    <col min="7" max="7" width="14.109375" style="27" hidden="1" customWidth="1"/>
    <col min="8" max="8" width="13.5546875" style="27" bestFit="1" customWidth="1"/>
    <col min="10" max="10" width="17.109375" customWidth="1"/>
  </cols>
  <sheetData>
    <row r="1" spans="1:15" ht="15" thickBot="1" x14ac:dyDescent="0.35">
      <c r="A1" s="303" t="s">
        <v>103</v>
      </c>
      <c r="B1" s="304"/>
      <c r="C1" s="304"/>
      <c r="D1"/>
      <c r="E1"/>
      <c r="F1" s="305" t="s">
        <v>60</v>
      </c>
      <c r="G1" s="306"/>
      <c r="H1" s="307"/>
    </row>
    <row r="2" spans="1:15" x14ac:dyDescent="0.3">
      <c r="A2"/>
      <c r="B2"/>
      <c r="C2"/>
      <c r="D2"/>
      <c r="E2"/>
      <c r="F2"/>
      <c r="G2"/>
      <c r="H2"/>
      <c r="K2" s="51" t="s">
        <v>99</v>
      </c>
      <c r="L2" s="51"/>
    </row>
    <row r="3" spans="1:15" ht="15.6" x14ac:dyDescent="0.3">
      <c r="A3"/>
      <c r="B3" s="13" t="s">
        <v>56</v>
      </c>
      <c r="C3" s="13" t="s">
        <v>57</v>
      </c>
      <c r="D3"/>
      <c r="E3"/>
      <c r="F3"/>
      <c r="G3" s="13" t="s">
        <v>56</v>
      </c>
      <c r="H3" s="13" t="s">
        <v>57</v>
      </c>
      <c r="K3" s="51" t="s">
        <v>100</v>
      </c>
      <c r="L3" s="51"/>
    </row>
    <row r="4" spans="1:15" x14ac:dyDescent="0.3">
      <c r="A4"/>
      <c r="B4"/>
      <c r="C4"/>
      <c r="D4"/>
      <c r="E4"/>
      <c r="F4" t="s">
        <v>46</v>
      </c>
      <c r="G4" s="8">
        <v>13574.38</v>
      </c>
      <c r="H4" s="9">
        <v>16481.509999999998</v>
      </c>
      <c r="I4">
        <v>1</v>
      </c>
      <c r="J4" s="237" t="s">
        <v>506</v>
      </c>
      <c r="K4" s="51"/>
      <c r="L4" s="51"/>
    </row>
    <row r="5" spans="1:15" x14ac:dyDescent="0.3">
      <c r="A5" s="1" t="s">
        <v>58</v>
      </c>
      <c r="B5" s="308">
        <f>+H4</f>
        <v>16481.509999999998</v>
      </c>
      <c r="C5" s="308"/>
      <c r="D5"/>
      <c r="E5"/>
      <c r="F5" t="s">
        <v>55</v>
      </c>
      <c r="G5" s="8">
        <v>2835</v>
      </c>
      <c r="H5" s="8">
        <f>+H29*7</f>
        <v>3217.6200000000003</v>
      </c>
      <c r="I5">
        <v>2</v>
      </c>
      <c r="J5" s="237" t="s">
        <v>507</v>
      </c>
    </row>
    <row r="6" spans="1:15" ht="15.6" x14ac:dyDescent="0.3">
      <c r="A6" s="1" t="s">
        <v>65</v>
      </c>
      <c r="B6" s="4">
        <v>0</v>
      </c>
      <c r="C6" s="26">
        <v>7</v>
      </c>
      <c r="D6"/>
      <c r="E6"/>
      <c r="F6" s="10" t="s">
        <v>47</v>
      </c>
      <c r="G6" s="11">
        <f>SUM(G4:G5)</f>
        <v>16409.379999999997</v>
      </c>
      <c r="H6" s="11">
        <f>SUM(H4:H5)</f>
        <v>19699.129999999997</v>
      </c>
      <c r="I6">
        <v>3</v>
      </c>
      <c r="J6" s="103" t="s">
        <v>508</v>
      </c>
    </row>
    <row r="7" spans="1:15" x14ac:dyDescent="0.3">
      <c r="A7" s="1" t="s">
        <v>59</v>
      </c>
      <c r="B7" s="15">
        <f>+$G$29*B6</f>
        <v>0</v>
      </c>
      <c r="C7" s="15">
        <f>+H5</f>
        <v>3217.6200000000003</v>
      </c>
      <c r="D7"/>
      <c r="E7"/>
      <c r="F7"/>
      <c r="G7"/>
      <c r="H7"/>
      <c r="I7">
        <v>4</v>
      </c>
      <c r="J7" s="103" t="s">
        <v>509</v>
      </c>
    </row>
    <row r="8" spans="1:15" x14ac:dyDescent="0.3">
      <c r="A8"/>
      <c r="B8"/>
      <c r="C8"/>
      <c r="D8"/>
      <c r="E8"/>
      <c r="F8" t="s">
        <v>48</v>
      </c>
      <c r="G8" s="9">
        <v>2900</v>
      </c>
      <c r="H8" s="9">
        <v>2610</v>
      </c>
      <c r="I8">
        <v>5</v>
      </c>
      <c r="J8" s="103" t="s">
        <v>510</v>
      </c>
    </row>
    <row r="9" spans="1:15" x14ac:dyDescent="0.3">
      <c r="A9" s="1" t="s">
        <v>63</v>
      </c>
      <c r="B9" s="4">
        <v>0</v>
      </c>
      <c r="C9" s="4">
        <v>7</v>
      </c>
      <c r="D9" s="24">
        <f>+C6+C9</f>
        <v>14</v>
      </c>
      <c r="E9"/>
      <c r="F9" t="s">
        <v>54</v>
      </c>
      <c r="G9" s="12">
        <v>405</v>
      </c>
      <c r="H9" s="12">
        <f>+H29</f>
        <v>459.66</v>
      </c>
      <c r="I9">
        <v>6</v>
      </c>
      <c r="J9" s="103" t="s">
        <v>511</v>
      </c>
    </row>
    <row r="10" spans="1:15" ht="15.6" x14ac:dyDescent="0.3">
      <c r="A10" s="1" t="s">
        <v>62</v>
      </c>
      <c r="B10" s="15">
        <f>+$G$30*B9</f>
        <v>0</v>
      </c>
      <c r="C10" s="15">
        <f>+$H$30*C9</f>
        <v>18270</v>
      </c>
      <c r="D10"/>
      <c r="E10"/>
      <c r="F10" s="10" t="s">
        <v>49</v>
      </c>
      <c r="G10" s="11">
        <f>+$G$6+G8+G9</f>
        <v>19714.379999999997</v>
      </c>
      <c r="H10" s="11">
        <f>+$H$6+H8+H9</f>
        <v>22768.789999999997</v>
      </c>
      <c r="I10">
        <v>7</v>
      </c>
      <c r="J10" s="103" t="s">
        <v>512</v>
      </c>
    </row>
    <row r="11" spans="1:15" x14ac:dyDescent="0.3">
      <c r="A11" s="1" t="s">
        <v>67</v>
      </c>
      <c r="B11" s="15">
        <f>+$G$29*B9</f>
        <v>0</v>
      </c>
      <c r="C11" s="15">
        <f>+$H$29*C9</f>
        <v>3217.6200000000003</v>
      </c>
      <c r="D11"/>
      <c r="E11"/>
      <c r="F11"/>
      <c r="G11"/>
      <c r="H11"/>
      <c r="I11">
        <v>8</v>
      </c>
      <c r="J11" s="103" t="s">
        <v>513</v>
      </c>
      <c r="K11" s="201"/>
      <c r="L11" s="201"/>
      <c r="M11" s="201"/>
      <c r="N11" s="201"/>
      <c r="O11" s="27"/>
    </row>
    <row r="12" spans="1:15" x14ac:dyDescent="0.3">
      <c r="A12"/>
      <c r="B12"/>
      <c r="C12"/>
      <c r="D12"/>
      <c r="E12"/>
      <c r="F12" t="s">
        <v>50</v>
      </c>
      <c r="G12" s="9">
        <v>5800</v>
      </c>
      <c r="H12" s="9">
        <v>5220</v>
      </c>
      <c r="I12">
        <v>9</v>
      </c>
      <c r="J12" s="103" t="s">
        <v>514</v>
      </c>
      <c r="K12" s="86"/>
      <c r="L12" s="172"/>
      <c r="M12" s="27"/>
      <c r="N12" s="27"/>
      <c r="O12" s="27"/>
    </row>
    <row r="13" spans="1:15" x14ac:dyDescent="0.3">
      <c r="A13"/>
      <c r="B13"/>
      <c r="C13"/>
      <c r="D13"/>
      <c r="E13"/>
      <c r="F13" t="s">
        <v>54</v>
      </c>
      <c r="G13" s="12">
        <v>810</v>
      </c>
      <c r="H13" s="12">
        <f>+H29*2</f>
        <v>919.32</v>
      </c>
      <c r="I13">
        <v>10</v>
      </c>
      <c r="J13" s="103" t="s">
        <v>515</v>
      </c>
      <c r="K13" s="169"/>
      <c r="L13" s="169"/>
      <c r="M13" s="27"/>
      <c r="N13" s="27"/>
      <c r="O13" s="27"/>
    </row>
    <row r="14" spans="1:15" ht="15.6" x14ac:dyDescent="0.3">
      <c r="A14"/>
      <c r="B14"/>
      <c r="C14"/>
      <c r="D14"/>
      <c r="E14"/>
      <c r="F14" s="10" t="s">
        <v>49</v>
      </c>
      <c r="G14" s="11">
        <f>+$G$6+G12+G13</f>
        <v>23019.379999999997</v>
      </c>
      <c r="H14" s="11">
        <f>+$H$6+H12+H13</f>
        <v>25838.449999999997</v>
      </c>
      <c r="I14">
        <v>11</v>
      </c>
      <c r="J14" s="229" t="s">
        <v>516</v>
      </c>
      <c r="K14" s="86"/>
      <c r="L14" s="173"/>
      <c r="M14" s="27"/>
      <c r="N14" s="27"/>
      <c r="O14" s="27"/>
    </row>
    <row r="15" spans="1:15" x14ac:dyDescent="0.3">
      <c r="A15" s="1" t="s">
        <v>68</v>
      </c>
      <c r="B15" s="15">
        <f>+B10+C10</f>
        <v>18270</v>
      </c>
      <c r="C15" s="14"/>
      <c r="D15"/>
      <c r="E15"/>
      <c r="F15"/>
      <c r="G15"/>
      <c r="H15"/>
      <c r="I15">
        <v>12</v>
      </c>
      <c r="J15" s="156" t="s">
        <v>517</v>
      </c>
      <c r="K15" s="86"/>
      <c r="L15" s="172"/>
      <c r="M15" s="27"/>
      <c r="N15" s="27"/>
      <c r="O15" s="27"/>
    </row>
    <row r="16" spans="1:15" x14ac:dyDescent="0.3">
      <c r="A16" s="80" t="s">
        <v>66</v>
      </c>
      <c r="B16" s="81">
        <f>B7+C7+B11+C11</f>
        <v>6435.2400000000007</v>
      </c>
      <c r="C16" s="17"/>
      <c r="D16" s="17"/>
      <c r="E16"/>
      <c r="F16" t="s">
        <v>51</v>
      </c>
      <c r="G16" s="9">
        <v>8700</v>
      </c>
      <c r="H16" s="9">
        <v>7830</v>
      </c>
      <c r="I16">
        <v>13</v>
      </c>
      <c r="J16" s="103" t="s">
        <v>518</v>
      </c>
      <c r="K16" s="169"/>
      <c r="L16" s="175"/>
      <c r="M16" s="27"/>
      <c r="N16" s="27"/>
      <c r="O16" s="27"/>
    </row>
    <row r="17" spans="1:16" x14ac:dyDescent="0.3">
      <c r="A17"/>
      <c r="B17"/>
      <c r="C17"/>
      <c r="D17"/>
      <c r="E17"/>
      <c r="F17" t="s">
        <v>54</v>
      </c>
      <c r="G17" s="12">
        <v>1215</v>
      </c>
      <c r="H17" s="12">
        <f>+H29*3</f>
        <v>1378.98</v>
      </c>
      <c r="I17">
        <v>14</v>
      </c>
      <c r="J17" s="103" t="s">
        <v>337</v>
      </c>
      <c r="K17" s="198"/>
      <c r="L17" s="198"/>
      <c r="M17" s="27"/>
      <c r="N17" s="27"/>
      <c r="O17" s="27"/>
      <c r="P17" s="70" t="s">
        <v>169</v>
      </c>
    </row>
    <row r="18" spans="1:16" ht="15.6" x14ac:dyDescent="0.3">
      <c r="A18" s="1" t="s">
        <v>69</v>
      </c>
      <c r="B18" s="248">
        <v>5600</v>
      </c>
      <c r="C18" s="20" t="s">
        <v>178</v>
      </c>
      <c r="D18"/>
      <c r="E18"/>
      <c r="F18" s="10" t="s">
        <v>49</v>
      </c>
      <c r="G18" s="11">
        <f>+$G$6+G16+G17</f>
        <v>26324.379999999997</v>
      </c>
      <c r="H18" s="11">
        <f>+$H$6+H16+H17</f>
        <v>28908.109999999997</v>
      </c>
      <c r="J18" s="159"/>
      <c r="K18" s="203"/>
      <c r="L18" s="178"/>
      <c r="M18" s="27"/>
      <c r="N18" s="27"/>
      <c r="O18" s="27"/>
      <c r="P18" s="70" t="s">
        <v>170</v>
      </c>
    </row>
    <row r="19" spans="1:16" ht="15" thickBot="1" x14ac:dyDescent="0.35">
      <c r="A19" s="17"/>
      <c r="B19"/>
      <c r="C19"/>
      <c r="D19"/>
      <c r="E19"/>
      <c r="F19"/>
      <c r="G19"/>
      <c r="H19"/>
      <c r="J19" s="103">
        <f>14*150</f>
        <v>2100</v>
      </c>
      <c r="K19" s="157"/>
      <c r="M19" s="27"/>
      <c r="N19" s="27"/>
      <c r="O19" s="27"/>
    </row>
    <row r="20" spans="1:16" ht="15" thickBot="1" x14ac:dyDescent="0.35">
      <c r="A20" s="146" t="s">
        <v>163</v>
      </c>
      <c r="B20" s="148">
        <f>D9*150</f>
        <v>2100</v>
      </c>
      <c r="C20" s="17" t="s">
        <v>165</v>
      </c>
      <c r="D20" s="17"/>
      <c r="E20" s="17"/>
      <c r="F20" t="s">
        <v>52</v>
      </c>
      <c r="G20" s="9">
        <v>11600</v>
      </c>
      <c r="H20" s="9">
        <v>10440</v>
      </c>
      <c r="J20" t="s">
        <v>212</v>
      </c>
      <c r="K20" s="204"/>
      <c r="M20" s="27"/>
      <c r="N20" s="27"/>
      <c r="O20" s="27"/>
    </row>
    <row r="21" spans="1:16" x14ac:dyDescent="0.3">
      <c r="A21" s="144"/>
      <c r="B21" s="145"/>
      <c r="C21" t="s">
        <v>178</v>
      </c>
      <c r="D21" s="17"/>
      <c r="E21" s="17"/>
      <c r="F21" t="s">
        <v>54</v>
      </c>
      <c r="G21" s="12">
        <v>1620</v>
      </c>
      <c r="H21" s="12">
        <f>+H29*4</f>
        <v>1838.64</v>
      </c>
      <c r="J21" s="153" t="s">
        <v>221</v>
      </c>
      <c r="K21" s="226">
        <v>1400</v>
      </c>
      <c r="L21" s="14"/>
      <c r="M21" s="27"/>
      <c r="N21" s="27"/>
      <c r="O21" s="27"/>
    </row>
    <row r="22" spans="1:16" ht="15.6" x14ac:dyDescent="0.3">
      <c r="A22" s="140"/>
      <c r="B22" s="141"/>
      <c r="C22"/>
      <c r="D22" s="17"/>
      <c r="E22"/>
      <c r="F22" s="10" t="s">
        <v>49</v>
      </c>
      <c r="G22" s="11">
        <f>+$G$6+G20+G21</f>
        <v>29629.379999999997</v>
      </c>
      <c r="H22" s="11">
        <f>+$H$6+H20+H21</f>
        <v>31977.769999999997</v>
      </c>
      <c r="J22" s="102" t="s">
        <v>223</v>
      </c>
      <c r="K22" s="226">
        <v>1400</v>
      </c>
      <c r="M22" s="27"/>
      <c r="N22" s="27"/>
      <c r="O22" s="27"/>
    </row>
    <row r="23" spans="1:16" x14ac:dyDescent="0.3">
      <c r="A23" s="140"/>
      <c r="B23" s="141"/>
      <c r="C23" s="14"/>
      <c r="D23" s="17"/>
      <c r="E23"/>
      <c r="F23"/>
      <c r="G23"/>
      <c r="H23"/>
      <c r="J23" s="102" t="s">
        <v>224</v>
      </c>
      <c r="K23" s="107">
        <v>1400</v>
      </c>
      <c r="L23" s="27"/>
      <c r="M23" s="27"/>
      <c r="N23" s="27"/>
      <c r="O23" s="27"/>
    </row>
    <row r="24" spans="1:16" ht="15" thickBot="1" x14ac:dyDescent="0.35">
      <c r="A24" s="142"/>
      <c r="B24" s="143"/>
      <c r="C24" s="88"/>
      <c r="D24" s="17"/>
      <c r="E24"/>
      <c r="F24" t="s">
        <v>53</v>
      </c>
      <c r="G24" s="9">
        <v>14500</v>
      </c>
      <c r="H24" s="9">
        <v>13050</v>
      </c>
      <c r="J24" s="102" t="s">
        <v>226</v>
      </c>
      <c r="K24" s="226">
        <v>1400</v>
      </c>
      <c r="L24" s="27"/>
      <c r="M24" s="27"/>
      <c r="N24" s="27"/>
      <c r="O24" s="27"/>
    </row>
    <row r="25" spans="1:16" ht="15" thickBot="1" x14ac:dyDescent="0.35">
      <c r="A25"/>
      <c r="B25"/>
      <c r="C25" s="90"/>
      <c r="D25"/>
      <c r="E25"/>
      <c r="F25" t="s">
        <v>54</v>
      </c>
      <c r="G25" s="12">
        <v>2025</v>
      </c>
      <c r="H25" s="12">
        <f>+H29*5</f>
        <v>2298.3000000000002</v>
      </c>
      <c r="K25" s="83">
        <f>SUM(K21:K24)</f>
        <v>5600</v>
      </c>
      <c r="L25" s="27"/>
      <c r="M25" s="27"/>
      <c r="N25" s="27"/>
      <c r="O25" s="27"/>
    </row>
    <row r="26" spans="1:16" ht="16.2" thickBot="1" x14ac:dyDescent="0.35">
      <c r="A26" s="146" t="s">
        <v>164</v>
      </c>
      <c r="B26" s="147">
        <f>SUM(B27:B30)</f>
        <v>0</v>
      </c>
      <c r="C26" s="17" t="s">
        <v>165</v>
      </c>
      <c r="D26"/>
      <c r="E26"/>
      <c r="F26" s="10" t="s">
        <v>49</v>
      </c>
      <c r="G26" s="11">
        <f>+$G$6+G24+G25</f>
        <v>32934.379999999997</v>
      </c>
      <c r="H26" s="11">
        <f>+$H$6+H24+H25</f>
        <v>35047.43</v>
      </c>
      <c r="K26" s="83"/>
      <c r="L26" s="27"/>
      <c r="M26" s="27"/>
      <c r="N26" s="27"/>
      <c r="O26" s="27"/>
    </row>
    <row r="27" spans="1:16" x14ac:dyDescent="0.3">
      <c r="A27" s="144" t="s">
        <v>167</v>
      </c>
      <c r="B27" s="145"/>
      <c r="C27" s="14"/>
      <c r="D27"/>
      <c r="E27"/>
      <c r="F27"/>
      <c r="G27"/>
      <c r="H27"/>
      <c r="K27" s="83"/>
      <c r="L27" s="27"/>
      <c r="M27" s="27"/>
      <c r="N27" s="27"/>
      <c r="O27" s="27"/>
    </row>
    <row r="28" spans="1:16" x14ac:dyDescent="0.3">
      <c r="A28" s="140"/>
      <c r="B28" s="141"/>
      <c r="C28"/>
      <c r="D28"/>
      <c r="E28"/>
      <c r="F28"/>
      <c r="G28"/>
      <c r="H28"/>
      <c r="K28" s="83"/>
      <c r="L28" s="27"/>
      <c r="M28" s="27"/>
      <c r="N28" s="27"/>
      <c r="O28" s="27"/>
    </row>
    <row r="29" spans="1:16" x14ac:dyDescent="0.3">
      <c r="A29" s="140"/>
      <c r="B29" s="141"/>
      <c r="C29"/>
      <c r="D29"/>
      <c r="E29"/>
      <c r="F29" t="s">
        <v>61</v>
      </c>
      <c r="G29" s="14">
        <v>405</v>
      </c>
      <c r="H29" s="14">
        <v>459.66</v>
      </c>
      <c r="K29" s="83"/>
      <c r="L29" s="27"/>
      <c r="M29" s="27"/>
      <c r="N29" s="27"/>
      <c r="O29" s="27"/>
    </row>
    <row r="30" spans="1:16" ht="15" thickBot="1" x14ac:dyDescent="0.35">
      <c r="A30" s="142"/>
      <c r="B30" s="143"/>
      <c r="C30"/>
      <c r="D30"/>
      <c r="E30"/>
      <c r="F30" t="s">
        <v>64</v>
      </c>
      <c r="G30" s="14">
        <v>2900</v>
      </c>
      <c r="H30" s="14">
        <v>2610</v>
      </c>
      <c r="K30" s="112"/>
      <c r="L30" s="27"/>
      <c r="M30" s="27"/>
      <c r="N30" s="27"/>
      <c r="O30" s="27"/>
    </row>
    <row r="31" spans="1:16" x14ac:dyDescent="0.3">
      <c r="A31"/>
      <c r="B31"/>
      <c r="C31"/>
      <c r="D31"/>
      <c r="E31"/>
      <c r="F31"/>
      <c r="G31"/>
      <c r="H31"/>
      <c r="K31" s="83"/>
    </row>
    <row r="32" spans="1:16" x14ac:dyDescent="0.3">
      <c r="A32"/>
      <c r="K32" s="83"/>
    </row>
    <row r="33" spans="1:11" x14ac:dyDescent="0.3">
      <c r="A33"/>
      <c r="K33" s="74"/>
    </row>
    <row r="34" spans="1:11" x14ac:dyDescent="0.3">
      <c r="A34" s="59"/>
      <c r="K34" s="162"/>
    </row>
    <row r="35" spans="1:11" x14ac:dyDescent="0.3">
      <c r="A35"/>
    </row>
    <row r="36" spans="1:11" x14ac:dyDescent="0.3">
      <c r="A36"/>
    </row>
    <row r="37" spans="1:11" x14ac:dyDescent="0.3">
      <c r="A37"/>
    </row>
    <row r="38" spans="1:11" x14ac:dyDescent="0.3">
      <c r="A38" s="59"/>
    </row>
    <row r="39" spans="1:11" x14ac:dyDescent="0.3">
      <c r="A39"/>
    </row>
    <row r="40" spans="1:11" x14ac:dyDescent="0.3">
      <c r="A40"/>
    </row>
    <row r="41" spans="1:11" x14ac:dyDescent="0.3">
      <c r="A41"/>
    </row>
    <row r="42" spans="1:11" x14ac:dyDescent="0.3">
      <c r="A42" s="59"/>
    </row>
    <row r="43" spans="1:11" x14ac:dyDescent="0.3">
      <c r="A43"/>
    </row>
    <row r="44" spans="1:11" x14ac:dyDescent="0.3">
      <c r="A44"/>
    </row>
    <row r="45" spans="1:11" x14ac:dyDescent="0.3">
      <c r="A45"/>
    </row>
    <row r="46" spans="1:11" x14ac:dyDescent="0.3">
      <c r="A46" s="59"/>
    </row>
    <row r="47" spans="1:11" x14ac:dyDescent="0.3">
      <c r="A47"/>
    </row>
    <row r="48" spans="1:11" x14ac:dyDescent="0.3">
      <c r="A48"/>
    </row>
    <row r="49" spans="1:2" x14ac:dyDescent="0.3">
      <c r="A49"/>
    </row>
    <row r="50" spans="1:2" x14ac:dyDescent="0.3">
      <c r="A50" s="59"/>
    </row>
    <row r="51" spans="1:2" x14ac:dyDescent="0.3">
      <c r="A51"/>
    </row>
    <row r="52" spans="1:2" x14ac:dyDescent="0.3">
      <c r="A52"/>
      <c r="B52"/>
    </row>
    <row r="53" spans="1:2" x14ac:dyDescent="0.3">
      <c r="A53"/>
      <c r="B53"/>
    </row>
    <row r="54" spans="1:2" x14ac:dyDescent="0.3">
      <c r="A54" s="59"/>
      <c r="B54" s="54"/>
    </row>
    <row r="55" spans="1:2" x14ac:dyDescent="0.3">
      <c r="A55"/>
      <c r="B55"/>
    </row>
    <row r="56" spans="1:2" x14ac:dyDescent="0.3">
      <c r="A56"/>
      <c r="B56"/>
    </row>
    <row r="57" spans="1:2" x14ac:dyDescent="0.3">
      <c r="A57"/>
      <c r="B57"/>
    </row>
    <row r="58" spans="1:2" x14ac:dyDescent="0.3">
      <c r="A58" s="59"/>
      <c r="B58" s="54"/>
    </row>
    <row r="59" spans="1:2" x14ac:dyDescent="0.3">
      <c r="A59"/>
      <c r="B59"/>
    </row>
    <row r="60" spans="1:2" x14ac:dyDescent="0.3">
      <c r="A60"/>
      <c r="B60"/>
    </row>
    <row r="61" spans="1:2" x14ac:dyDescent="0.3">
      <c r="A61"/>
      <c r="B61"/>
    </row>
    <row r="62" spans="1:2" x14ac:dyDescent="0.3">
      <c r="A62" s="59"/>
      <c r="B62" s="54"/>
    </row>
    <row r="63" spans="1:2" x14ac:dyDescent="0.3">
      <c r="A63"/>
      <c r="B63"/>
    </row>
    <row r="64" spans="1:2" x14ac:dyDescent="0.3">
      <c r="A64"/>
      <c r="B64"/>
    </row>
    <row r="65" spans="1:2" x14ac:dyDescent="0.3">
      <c r="A65"/>
      <c r="B65"/>
    </row>
    <row r="66" spans="1:2" x14ac:dyDescent="0.3">
      <c r="A66" s="59"/>
      <c r="B66" s="54"/>
    </row>
    <row r="67" spans="1:2" x14ac:dyDescent="0.3">
      <c r="A67"/>
      <c r="B67"/>
    </row>
    <row r="68" spans="1:2" x14ac:dyDescent="0.3">
      <c r="A68"/>
      <c r="B68"/>
    </row>
    <row r="69" spans="1:2" x14ac:dyDescent="0.3">
      <c r="A69"/>
      <c r="B69"/>
    </row>
    <row r="70" spans="1:2" x14ac:dyDescent="0.3">
      <c r="A70" s="59"/>
      <c r="B70" s="54"/>
    </row>
    <row r="71" spans="1:2" x14ac:dyDescent="0.3">
      <c r="A71"/>
      <c r="B71"/>
    </row>
    <row r="72" spans="1:2" x14ac:dyDescent="0.3">
      <c r="A72"/>
      <c r="B72"/>
    </row>
    <row r="73" spans="1:2" x14ac:dyDescent="0.3">
      <c r="A73"/>
      <c r="B73"/>
    </row>
    <row r="74" spans="1:2" x14ac:dyDescent="0.3">
      <c r="A74" s="59"/>
      <c r="B74" s="54"/>
    </row>
    <row r="75" spans="1:2" x14ac:dyDescent="0.3">
      <c r="A75"/>
      <c r="B75"/>
    </row>
    <row r="76" spans="1:2" x14ac:dyDescent="0.3">
      <c r="A76"/>
      <c r="B76"/>
    </row>
    <row r="77" spans="1:2" x14ac:dyDescent="0.3">
      <c r="A77"/>
      <c r="B77"/>
    </row>
    <row r="78" spans="1:2" x14ac:dyDescent="0.3">
      <c r="A78" s="59"/>
      <c r="B78" s="54"/>
    </row>
    <row r="79" spans="1:2" x14ac:dyDescent="0.3">
      <c r="A79"/>
      <c r="B79"/>
    </row>
    <row r="80" spans="1:2" x14ac:dyDescent="0.3">
      <c r="A80"/>
      <c r="B80"/>
    </row>
    <row r="81" spans="1:2" x14ac:dyDescent="0.3">
      <c r="A81"/>
      <c r="B81"/>
    </row>
    <row r="82" spans="1:2" x14ac:dyDescent="0.3">
      <c r="A82" s="59"/>
      <c r="B82" s="54"/>
    </row>
    <row r="83" spans="1:2" x14ac:dyDescent="0.3">
      <c r="A83"/>
      <c r="B83"/>
    </row>
    <row r="84" spans="1:2" x14ac:dyDescent="0.3">
      <c r="A84"/>
      <c r="B84"/>
    </row>
    <row r="85" spans="1:2" x14ac:dyDescent="0.3">
      <c r="A85"/>
      <c r="B85"/>
    </row>
    <row r="86" spans="1:2" x14ac:dyDescent="0.3">
      <c r="A86" s="59"/>
      <c r="B86" s="54"/>
    </row>
    <row r="87" spans="1:2" x14ac:dyDescent="0.3">
      <c r="A87"/>
      <c r="B87"/>
    </row>
    <row r="88" spans="1:2" x14ac:dyDescent="0.3">
      <c r="A88"/>
      <c r="B88"/>
    </row>
    <row r="89" spans="1:2" x14ac:dyDescent="0.3">
      <c r="A89"/>
      <c r="B89"/>
    </row>
  </sheetData>
  <mergeCells count="3">
    <mergeCell ref="A1:C1"/>
    <mergeCell ref="F1:H1"/>
    <mergeCell ref="B5:C5"/>
  </mergeCells>
  <pageMargins left="0.7" right="0.7" top="0.75" bottom="0.75" header="0.3" footer="0.3"/>
  <pageSetup paperSize="9" scale="74" orientation="landscape" horizontalDpi="4294967293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6ADB-EF55-4C4D-BAAD-02AF95B82ADD}">
  <sheetPr>
    <tabColor rgb="FFFFFF00"/>
  </sheetPr>
  <dimension ref="A1:Q31"/>
  <sheetViews>
    <sheetView zoomScaleNormal="100" workbookViewId="0">
      <selection activeCell="J13" sqref="J13"/>
    </sheetView>
  </sheetViews>
  <sheetFormatPr defaultColWidth="9.109375" defaultRowHeight="14.4" x14ac:dyDescent="0.3"/>
  <cols>
    <col min="1" max="1" width="51.5546875" bestFit="1" customWidth="1"/>
    <col min="2" max="2" width="14.5546875" customWidth="1"/>
    <col min="3" max="3" width="19.5546875" customWidth="1"/>
    <col min="5" max="5" width="14.5546875" customWidth="1"/>
    <col min="6" max="6" width="21.5546875" bestFit="1" customWidth="1"/>
    <col min="7" max="7" width="15" hidden="1" customWidth="1"/>
    <col min="8" max="8" width="14.44140625" bestFit="1" customWidth="1"/>
    <col min="10" max="10" width="18.33203125" customWidth="1"/>
  </cols>
  <sheetData>
    <row r="1" spans="1:14" ht="15" thickBot="1" x14ac:dyDescent="0.35">
      <c r="A1" s="303" t="s">
        <v>136</v>
      </c>
      <c r="B1" s="304"/>
      <c r="C1" s="304"/>
      <c r="F1" s="305" t="s">
        <v>60</v>
      </c>
      <c r="G1" s="306"/>
      <c r="H1" s="307"/>
      <c r="I1">
        <v>1</v>
      </c>
      <c r="J1" s="156" t="s">
        <v>519</v>
      </c>
    </row>
    <row r="2" spans="1:14" x14ac:dyDescent="0.3">
      <c r="I2">
        <v>2</v>
      </c>
      <c r="J2" s="156" t="s">
        <v>520</v>
      </c>
    </row>
    <row r="3" spans="1:14" ht="15.6" x14ac:dyDescent="0.3">
      <c r="B3" s="13" t="s">
        <v>56</v>
      </c>
      <c r="C3" s="13" t="s">
        <v>57</v>
      </c>
      <c r="G3" s="13" t="s">
        <v>56</v>
      </c>
      <c r="H3" s="13" t="s">
        <v>57</v>
      </c>
      <c r="I3">
        <v>3</v>
      </c>
      <c r="J3" s="133" t="s">
        <v>521</v>
      </c>
      <c r="K3" s="16"/>
    </row>
    <row r="4" spans="1:14" x14ac:dyDescent="0.3">
      <c r="F4" t="s">
        <v>46</v>
      </c>
      <c r="G4" s="8">
        <v>13574.38</v>
      </c>
      <c r="H4" s="9">
        <v>16481.55</v>
      </c>
      <c r="I4">
        <v>4</v>
      </c>
      <c r="J4" s="133" t="s">
        <v>522</v>
      </c>
    </row>
    <row r="5" spans="1:14" x14ac:dyDescent="0.3">
      <c r="A5" s="1" t="s">
        <v>58</v>
      </c>
      <c r="B5" s="308">
        <f>+H4</f>
        <v>16481.55</v>
      </c>
      <c r="C5" s="308"/>
      <c r="F5" t="s">
        <v>55</v>
      </c>
      <c r="G5" s="8">
        <v>2835</v>
      </c>
      <c r="H5" s="8">
        <f>+H29*7</f>
        <v>3217.6200000000003</v>
      </c>
      <c r="I5">
        <v>5</v>
      </c>
      <c r="J5" s="133" t="s">
        <v>523</v>
      </c>
    </row>
    <row r="6" spans="1:14" ht="15.6" x14ac:dyDescent="0.3">
      <c r="A6" s="1" t="s">
        <v>65</v>
      </c>
      <c r="B6" s="4"/>
      <c r="C6" s="26">
        <v>7</v>
      </c>
      <c r="F6" s="10" t="s">
        <v>47</v>
      </c>
      <c r="G6" s="11">
        <f>SUM(G4:G5)</f>
        <v>16409.379999999997</v>
      </c>
      <c r="H6" s="11">
        <f>SUM(H4:H5)</f>
        <v>19699.169999999998</v>
      </c>
      <c r="I6">
        <v>6</v>
      </c>
      <c r="J6" s="76" t="s">
        <v>524</v>
      </c>
    </row>
    <row r="7" spans="1:14" x14ac:dyDescent="0.3">
      <c r="A7" s="1" t="s">
        <v>59</v>
      </c>
      <c r="B7" s="15">
        <f>+$G$29*B6</f>
        <v>0</v>
      </c>
      <c r="C7" s="15">
        <f>+H5</f>
        <v>3217.6200000000003</v>
      </c>
      <c r="I7">
        <v>7</v>
      </c>
      <c r="J7" s="156" t="s">
        <v>525</v>
      </c>
      <c r="K7" s="201"/>
      <c r="L7" s="201"/>
      <c r="M7" s="201"/>
    </row>
    <row r="8" spans="1:14" x14ac:dyDescent="0.3">
      <c r="F8" t="s">
        <v>48</v>
      </c>
      <c r="G8" s="9">
        <v>2900</v>
      </c>
      <c r="H8" s="9">
        <v>2610</v>
      </c>
      <c r="I8">
        <v>8</v>
      </c>
      <c r="J8" s="76" t="s">
        <v>526</v>
      </c>
      <c r="K8" s="169"/>
    </row>
    <row r="9" spans="1:14" x14ac:dyDescent="0.3">
      <c r="A9" s="1" t="s">
        <v>63</v>
      </c>
      <c r="B9" s="4">
        <v>0</v>
      </c>
      <c r="C9" s="4">
        <v>5</v>
      </c>
      <c r="D9" s="24">
        <f>+C6+C9</f>
        <v>12</v>
      </c>
      <c r="F9" t="s">
        <v>54</v>
      </c>
      <c r="G9" s="12">
        <v>405</v>
      </c>
      <c r="H9" s="12">
        <f>+H29</f>
        <v>459.66</v>
      </c>
      <c r="I9">
        <v>9</v>
      </c>
      <c r="J9" s="133" t="s">
        <v>527</v>
      </c>
      <c r="K9" s="169"/>
    </row>
    <row r="10" spans="1:14" ht="15.6" x14ac:dyDescent="0.3">
      <c r="A10" s="1" t="s">
        <v>62</v>
      </c>
      <c r="B10" s="15">
        <f>+$G$30*B9</f>
        <v>0</v>
      </c>
      <c r="C10" s="15">
        <f>+$H$30*C9</f>
        <v>13050</v>
      </c>
      <c r="F10" s="10" t="s">
        <v>49</v>
      </c>
      <c r="G10" s="11">
        <f>+$G$6+G8+G9</f>
        <v>19714.379999999997</v>
      </c>
      <c r="H10" s="11">
        <f>+$H$6+H8+H9</f>
        <v>22768.829999999998</v>
      </c>
      <c r="I10">
        <v>10</v>
      </c>
      <c r="J10" s="156" t="s">
        <v>528</v>
      </c>
      <c r="K10" s="173"/>
    </row>
    <row r="11" spans="1:14" x14ac:dyDescent="0.3">
      <c r="A11" s="1" t="s">
        <v>67</v>
      </c>
      <c r="B11" s="15">
        <f>+$G$29*B9</f>
        <v>0</v>
      </c>
      <c r="C11" s="15">
        <f>+$H$29*C9</f>
        <v>2298.3000000000002</v>
      </c>
      <c r="I11">
        <v>11</v>
      </c>
      <c r="J11" s="133" t="s">
        <v>372</v>
      </c>
      <c r="K11" s="172"/>
    </row>
    <row r="12" spans="1:14" x14ac:dyDescent="0.3">
      <c r="F12" t="s">
        <v>50</v>
      </c>
      <c r="G12" s="9">
        <v>5800</v>
      </c>
      <c r="H12" s="9">
        <v>5220</v>
      </c>
      <c r="I12">
        <v>12</v>
      </c>
      <c r="J12" s="133" t="s">
        <v>372</v>
      </c>
      <c r="K12" s="175"/>
      <c r="N12" s="70" t="s">
        <v>169</v>
      </c>
    </row>
    <row r="13" spans="1:14" x14ac:dyDescent="0.3">
      <c r="D13" s="18"/>
      <c r="F13" t="s">
        <v>54</v>
      </c>
      <c r="G13" s="12">
        <v>810</v>
      </c>
      <c r="H13" s="12">
        <f>+H29*2</f>
        <v>919.32</v>
      </c>
      <c r="J13" s="202">
        <f>12*150</f>
        <v>1800</v>
      </c>
      <c r="K13" s="199"/>
      <c r="N13" s="70" t="s">
        <v>170</v>
      </c>
    </row>
    <row r="14" spans="1:14" ht="15.6" x14ac:dyDescent="0.3">
      <c r="F14" s="10" t="s">
        <v>49</v>
      </c>
      <c r="G14" s="11">
        <f>+$G$6+G12+G13</f>
        <v>23019.379999999997</v>
      </c>
      <c r="H14" s="11">
        <f>+$H$6+H12+H13</f>
        <v>25838.489999999998</v>
      </c>
    </row>
    <row r="15" spans="1:14" x14ac:dyDescent="0.3">
      <c r="A15" s="1" t="s">
        <v>68</v>
      </c>
      <c r="B15" s="15">
        <f>+B10+C10</f>
        <v>13050</v>
      </c>
      <c r="C15" s="20"/>
      <c r="D15" s="14"/>
    </row>
    <row r="16" spans="1:14" x14ac:dyDescent="0.3">
      <c r="A16" s="80" t="s">
        <v>66</v>
      </c>
      <c r="B16" s="81">
        <f>B7+C7+B11+C11</f>
        <v>5515.92</v>
      </c>
      <c r="C16" s="21"/>
      <c r="D16" s="17"/>
      <c r="F16" t="s">
        <v>51</v>
      </c>
      <c r="G16" s="9">
        <v>8700</v>
      </c>
      <c r="H16" s="9">
        <v>7830</v>
      </c>
      <c r="J16" s="167" t="s">
        <v>212</v>
      </c>
    </row>
    <row r="17" spans="1:17" x14ac:dyDescent="0.3">
      <c r="F17" t="s">
        <v>54</v>
      </c>
      <c r="G17" s="12">
        <v>1215</v>
      </c>
      <c r="H17" s="12">
        <f>+H29*3</f>
        <v>1378.98</v>
      </c>
      <c r="J17" s="153" t="s">
        <v>225</v>
      </c>
      <c r="K17" s="226">
        <v>1400</v>
      </c>
    </row>
    <row r="18" spans="1:17" ht="15.6" x14ac:dyDescent="0.3">
      <c r="A18" s="1" t="s">
        <v>69</v>
      </c>
      <c r="B18" s="248">
        <v>5600</v>
      </c>
      <c r="C18" t="s">
        <v>178</v>
      </c>
      <c r="F18" s="10" t="s">
        <v>49</v>
      </c>
      <c r="G18" s="11">
        <f>+$G$6+G16+G17</f>
        <v>26324.379999999997</v>
      </c>
      <c r="H18" s="11">
        <f>+$H$6+H16+H17</f>
        <v>28908.149999999998</v>
      </c>
      <c r="J18" s="102" t="s">
        <v>223</v>
      </c>
      <c r="K18" s="226">
        <v>1400</v>
      </c>
    </row>
    <row r="19" spans="1:17" ht="15" thickBot="1" x14ac:dyDescent="0.35">
      <c r="A19" s="1"/>
      <c r="B19" s="1"/>
      <c r="C19" s="18"/>
      <c r="J19" s="102" t="s">
        <v>224</v>
      </c>
      <c r="K19" s="107">
        <v>1400</v>
      </c>
    </row>
    <row r="20" spans="1:17" ht="15" thickBot="1" x14ac:dyDescent="0.35">
      <c r="A20" s="146" t="s">
        <v>163</v>
      </c>
      <c r="B20" s="148">
        <f>D9*150</f>
        <v>1800</v>
      </c>
      <c r="C20" s="17" t="s">
        <v>165</v>
      </c>
      <c r="F20" t="s">
        <v>52</v>
      </c>
      <c r="G20" s="9">
        <v>11600</v>
      </c>
      <c r="H20" s="9">
        <v>10440</v>
      </c>
      <c r="J20" s="102" t="s">
        <v>226</v>
      </c>
      <c r="K20" s="226">
        <v>1400</v>
      </c>
    </row>
    <row r="21" spans="1:17" x14ac:dyDescent="0.3">
      <c r="A21" s="144"/>
      <c r="B21" s="145"/>
      <c r="C21" t="s">
        <v>178</v>
      </c>
      <c r="F21" t="s">
        <v>54</v>
      </c>
      <c r="G21" s="12">
        <v>1620</v>
      </c>
      <c r="H21" s="12">
        <f>+H29*4</f>
        <v>1838.64</v>
      </c>
      <c r="J21" s="167"/>
      <c r="K21">
        <f>SUM(K17:K20)</f>
        <v>5600</v>
      </c>
    </row>
    <row r="22" spans="1:17" ht="15.6" x14ac:dyDescent="0.3">
      <c r="A22" s="140"/>
      <c r="B22" s="141"/>
      <c r="F22" s="10" t="s">
        <v>49</v>
      </c>
      <c r="G22" s="11">
        <f>+$G$6+G20+G21</f>
        <v>29629.379999999997</v>
      </c>
      <c r="H22" s="11">
        <f>+$H$6+H20+H21</f>
        <v>31977.809999999998</v>
      </c>
      <c r="J22" s="167"/>
    </row>
    <row r="23" spans="1:17" x14ac:dyDescent="0.3">
      <c r="A23" s="140"/>
      <c r="B23" s="141"/>
      <c r="C23" s="14"/>
      <c r="J23" s="271" t="s">
        <v>265</v>
      </c>
      <c r="K23" s="247"/>
      <c r="L23" s="247"/>
      <c r="M23" s="247"/>
      <c r="N23" s="247"/>
      <c r="O23" s="247"/>
      <c r="P23" s="247"/>
      <c r="Q23" s="247"/>
    </row>
    <row r="24" spans="1:17" ht="15" thickBot="1" x14ac:dyDescent="0.35">
      <c r="A24" s="142"/>
      <c r="B24" s="143"/>
      <c r="C24" s="88"/>
      <c r="F24" t="s">
        <v>53</v>
      </c>
      <c r="G24" s="9">
        <v>14500</v>
      </c>
      <c r="H24" s="9">
        <v>13050</v>
      </c>
      <c r="J24" s="261" t="s">
        <v>217</v>
      </c>
      <c r="K24" s="261"/>
      <c r="L24" s="261" t="s">
        <v>257</v>
      </c>
      <c r="M24" s="261">
        <v>37.46</v>
      </c>
      <c r="N24" s="262" t="s">
        <v>311</v>
      </c>
      <c r="O24" s="261" t="s">
        <v>312</v>
      </c>
      <c r="P24" s="261" t="s">
        <v>261</v>
      </c>
      <c r="Q24" s="24">
        <v>200</v>
      </c>
    </row>
    <row r="25" spans="1:17" ht="15" customHeight="1" thickBot="1" x14ac:dyDescent="0.35">
      <c r="C25" s="90"/>
      <c r="F25" t="s">
        <v>54</v>
      </c>
      <c r="G25" s="12">
        <v>2025</v>
      </c>
      <c r="H25" s="12">
        <f>+H29*5</f>
        <v>2298.3000000000002</v>
      </c>
      <c r="J25" s="166"/>
    </row>
    <row r="26" spans="1:17" ht="16.2" thickBot="1" x14ac:dyDescent="0.35">
      <c r="A26" s="146" t="s">
        <v>164</v>
      </c>
      <c r="B26" s="147">
        <f>SUM(B27:B30)</f>
        <v>200</v>
      </c>
      <c r="C26" s="17" t="s">
        <v>165</v>
      </c>
      <c r="F26" s="10" t="s">
        <v>49</v>
      </c>
      <c r="G26" s="11">
        <f>+$G$6+G24+G25</f>
        <v>32934.379999999997</v>
      </c>
      <c r="H26" s="11">
        <f>+$H$6+H24+H25</f>
        <v>35047.47</v>
      </c>
      <c r="J26" s="74"/>
    </row>
    <row r="27" spans="1:17" x14ac:dyDescent="0.3">
      <c r="A27" s="144" t="s">
        <v>168</v>
      </c>
      <c r="B27" s="145"/>
      <c r="J27" s="191"/>
    </row>
    <row r="28" spans="1:17" x14ac:dyDescent="0.3">
      <c r="A28" s="140" t="s">
        <v>173</v>
      </c>
      <c r="B28" s="284">
        <v>200</v>
      </c>
      <c r="C28" t="s">
        <v>178</v>
      </c>
    </row>
    <row r="29" spans="1:17" x14ac:dyDescent="0.3">
      <c r="A29" s="140"/>
      <c r="B29" s="141"/>
      <c r="F29" t="s">
        <v>61</v>
      </c>
      <c r="G29" s="14">
        <v>405</v>
      </c>
      <c r="H29" s="14">
        <v>459.66</v>
      </c>
    </row>
    <row r="30" spans="1:17" ht="15" thickBot="1" x14ac:dyDescent="0.35">
      <c r="A30" s="142"/>
      <c r="B30" s="143"/>
      <c r="F30" t="s">
        <v>64</v>
      </c>
      <c r="G30" s="14">
        <v>2900</v>
      </c>
      <c r="H30" s="14">
        <v>2610</v>
      </c>
    </row>
    <row r="31" spans="1:17" x14ac:dyDescent="0.3">
      <c r="A31" s="78"/>
      <c r="B31" s="78"/>
    </row>
  </sheetData>
  <mergeCells count="3">
    <mergeCell ref="A1:C1"/>
    <mergeCell ref="F1:H1"/>
    <mergeCell ref="B5:C5"/>
  </mergeCells>
  <pageMargins left="0.7" right="0.7" top="0.75" bottom="0.75" header="0.3" footer="0.3"/>
  <pageSetup paperSize="9" orientation="portrait" horizontalDpi="4294967293" verticalDpi="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190F1-9775-42D8-9FAD-02D0FB5685B7}">
  <sheetPr>
    <tabColor rgb="FFFFFF00"/>
  </sheetPr>
  <dimension ref="A1:Q30"/>
  <sheetViews>
    <sheetView zoomScale="90" zoomScaleNormal="90" workbookViewId="0">
      <selection activeCell="B28" sqref="B28"/>
    </sheetView>
  </sheetViews>
  <sheetFormatPr defaultColWidth="9.109375" defaultRowHeight="14.4" x14ac:dyDescent="0.3"/>
  <cols>
    <col min="1" max="1" width="56.5546875" customWidth="1"/>
    <col min="2" max="2" width="14.5546875" customWidth="1"/>
    <col min="3" max="3" width="17.5546875" customWidth="1"/>
    <col min="4" max="4" width="10.109375" bestFit="1" customWidth="1"/>
    <col min="6" max="6" width="21.5546875" bestFit="1" customWidth="1"/>
    <col min="7" max="7" width="15" hidden="1" customWidth="1"/>
    <col min="8" max="8" width="14.44140625" bestFit="1" customWidth="1"/>
    <col min="10" max="10" width="17.109375" customWidth="1"/>
    <col min="11" max="11" width="10.44140625" customWidth="1"/>
  </cols>
  <sheetData>
    <row r="1" spans="1:15" ht="15" thickBot="1" x14ac:dyDescent="0.35">
      <c r="A1" s="303" t="s">
        <v>97</v>
      </c>
      <c r="B1" s="304"/>
      <c r="C1" s="304"/>
      <c r="F1" s="305" t="s">
        <v>60</v>
      </c>
      <c r="G1" s="306"/>
      <c r="H1" s="307"/>
      <c r="I1">
        <v>1</v>
      </c>
      <c r="J1" s="156" t="s">
        <v>530</v>
      </c>
    </row>
    <row r="2" spans="1:15" x14ac:dyDescent="0.3">
      <c r="I2">
        <v>2</v>
      </c>
      <c r="J2" s="103" t="s">
        <v>531</v>
      </c>
    </row>
    <row r="3" spans="1:15" ht="15.6" x14ac:dyDescent="0.3">
      <c r="B3" s="13" t="s">
        <v>56</v>
      </c>
      <c r="C3" s="13" t="s">
        <v>57</v>
      </c>
      <c r="G3" s="13" t="s">
        <v>56</v>
      </c>
      <c r="H3" s="13" t="s">
        <v>57</v>
      </c>
      <c r="I3">
        <v>3</v>
      </c>
      <c r="J3" s="156" t="s">
        <v>532</v>
      </c>
      <c r="K3" s="16"/>
    </row>
    <row r="4" spans="1:15" x14ac:dyDescent="0.3">
      <c r="F4" t="s">
        <v>46</v>
      </c>
      <c r="G4" s="8">
        <v>13574.38</v>
      </c>
      <c r="H4" s="9">
        <v>16481.55</v>
      </c>
      <c r="I4">
        <v>4</v>
      </c>
      <c r="J4" s="156" t="s">
        <v>533</v>
      </c>
    </row>
    <row r="5" spans="1:15" x14ac:dyDescent="0.3">
      <c r="A5" s="1" t="s">
        <v>58</v>
      </c>
      <c r="B5" s="308">
        <f>+H4</f>
        <v>16481.55</v>
      </c>
      <c r="C5" s="308"/>
      <c r="F5" t="s">
        <v>55</v>
      </c>
      <c r="G5" s="8">
        <v>2835</v>
      </c>
      <c r="H5" s="8">
        <f>+H29*7</f>
        <v>3217.6200000000003</v>
      </c>
      <c r="I5">
        <v>5</v>
      </c>
      <c r="J5" s="156" t="s">
        <v>534</v>
      </c>
    </row>
    <row r="6" spans="1:15" ht="15.6" x14ac:dyDescent="0.3">
      <c r="A6" s="1" t="s">
        <v>65</v>
      </c>
      <c r="B6" s="4">
        <v>0</v>
      </c>
      <c r="C6" s="26">
        <v>7</v>
      </c>
      <c r="F6" s="10" t="s">
        <v>47</v>
      </c>
      <c r="G6" s="11">
        <f>SUM(G4:G5)</f>
        <v>16409.379999999997</v>
      </c>
      <c r="H6" s="11">
        <f>SUM(H4:H5)</f>
        <v>19699.169999999998</v>
      </c>
      <c r="I6">
        <v>6</v>
      </c>
      <c r="J6" s="156" t="s">
        <v>535</v>
      </c>
      <c r="K6" s="195"/>
      <c r="L6" s="195"/>
      <c r="M6" s="195"/>
    </row>
    <row r="7" spans="1:15" x14ac:dyDescent="0.3">
      <c r="A7" s="1" t="s">
        <v>59</v>
      </c>
      <c r="B7" s="15">
        <f>+$G$29*B6</f>
        <v>0</v>
      </c>
      <c r="C7" s="15">
        <f>+H5</f>
        <v>3217.6200000000003</v>
      </c>
      <c r="I7">
        <v>7</v>
      </c>
      <c r="J7" s="103" t="s">
        <v>536</v>
      </c>
      <c r="K7" s="188"/>
      <c r="L7" s="188"/>
    </row>
    <row r="8" spans="1:15" x14ac:dyDescent="0.3">
      <c r="F8" t="s">
        <v>48</v>
      </c>
      <c r="G8" s="9">
        <v>2900</v>
      </c>
      <c r="H8" s="9">
        <v>2610</v>
      </c>
      <c r="I8">
        <v>8</v>
      </c>
      <c r="J8" s="103" t="s">
        <v>537</v>
      </c>
      <c r="K8" s="188"/>
      <c r="L8" s="188"/>
    </row>
    <row r="9" spans="1:15" x14ac:dyDescent="0.3">
      <c r="A9" s="1" t="s">
        <v>63</v>
      </c>
      <c r="B9" s="4">
        <v>0</v>
      </c>
      <c r="C9" s="4">
        <v>5</v>
      </c>
      <c r="D9" s="24">
        <f>+C6+C9</f>
        <v>12</v>
      </c>
      <c r="F9" t="s">
        <v>54</v>
      </c>
      <c r="G9" s="12">
        <v>405</v>
      </c>
      <c r="H9" s="12">
        <f>+H29</f>
        <v>459.66</v>
      </c>
      <c r="I9">
        <v>9</v>
      </c>
      <c r="J9" s="103" t="s">
        <v>538</v>
      </c>
      <c r="K9" s="188"/>
      <c r="L9" s="188"/>
    </row>
    <row r="10" spans="1:15" ht="15.6" x14ac:dyDescent="0.3">
      <c r="A10" s="1" t="s">
        <v>62</v>
      </c>
      <c r="B10" s="15">
        <f>+$G$30*B9</f>
        <v>0</v>
      </c>
      <c r="C10" s="15">
        <f>+$H$30*C9</f>
        <v>13050</v>
      </c>
      <c r="F10" s="10" t="s">
        <v>49</v>
      </c>
      <c r="G10" s="11">
        <f>+$G$6+G8+G9</f>
        <v>19714.379999999997</v>
      </c>
      <c r="H10" s="11">
        <f>+$H$6+H8+H9</f>
        <v>22768.829999999998</v>
      </c>
      <c r="I10">
        <v>10</v>
      </c>
      <c r="J10" s="156" t="s">
        <v>539</v>
      </c>
      <c r="K10" s="180"/>
      <c r="L10" s="182"/>
    </row>
    <row r="11" spans="1:15" x14ac:dyDescent="0.3">
      <c r="A11" s="1" t="s">
        <v>67</v>
      </c>
      <c r="B11" s="15">
        <f>+$G$29*B9</f>
        <v>0</v>
      </c>
      <c r="C11" s="15">
        <f>+$H$29*C9</f>
        <v>2298.3000000000002</v>
      </c>
      <c r="I11">
        <v>11</v>
      </c>
      <c r="J11" s="229" t="s">
        <v>540</v>
      </c>
      <c r="K11" s="180"/>
      <c r="L11" s="181"/>
      <c r="O11" s="70" t="s">
        <v>169</v>
      </c>
    </row>
    <row r="12" spans="1:15" x14ac:dyDescent="0.3">
      <c r="F12" t="s">
        <v>50</v>
      </c>
      <c r="G12" s="9">
        <v>5800</v>
      </c>
      <c r="H12" s="9">
        <v>5220</v>
      </c>
      <c r="I12">
        <v>12</v>
      </c>
      <c r="J12" s="156" t="s">
        <v>337</v>
      </c>
      <c r="K12" s="196"/>
      <c r="L12" s="197"/>
      <c r="O12" s="70" t="s">
        <v>170</v>
      </c>
    </row>
    <row r="13" spans="1:15" x14ac:dyDescent="0.3">
      <c r="D13" s="18"/>
      <c r="F13" t="s">
        <v>54</v>
      </c>
      <c r="G13" s="12">
        <v>810</v>
      </c>
      <c r="H13" s="12">
        <f>+H29*2</f>
        <v>919.32</v>
      </c>
      <c r="J13" s="157">
        <f>12*150</f>
        <v>1800</v>
      </c>
    </row>
    <row r="14" spans="1:15" ht="15.6" x14ac:dyDescent="0.3">
      <c r="F14" s="10" t="s">
        <v>49</v>
      </c>
      <c r="G14" s="11">
        <f>+$G$6+G12+G13</f>
        <v>23019.379999999997</v>
      </c>
      <c r="H14" s="11">
        <f>+$H$6+H12+H13</f>
        <v>25838.489999999998</v>
      </c>
      <c r="J14" s="161"/>
    </row>
    <row r="15" spans="1:15" x14ac:dyDescent="0.3">
      <c r="A15" s="1" t="s">
        <v>68</v>
      </c>
      <c r="B15" s="15">
        <f>+B10+C10</f>
        <v>13050</v>
      </c>
      <c r="C15" s="14"/>
      <c r="J15" s="161" t="s">
        <v>212</v>
      </c>
    </row>
    <row r="16" spans="1:15" x14ac:dyDescent="0.3">
      <c r="A16" s="80" t="s">
        <v>66</v>
      </c>
      <c r="B16" s="81">
        <f>B7+C7+B11+C11</f>
        <v>5515.92</v>
      </c>
      <c r="C16" s="21"/>
      <c r="D16" s="17"/>
      <c r="F16" t="s">
        <v>51</v>
      </c>
      <c r="G16" s="9">
        <v>8700</v>
      </c>
      <c r="H16" s="9">
        <v>7830</v>
      </c>
      <c r="J16" s="153" t="s">
        <v>227</v>
      </c>
      <c r="K16" s="226">
        <v>1400</v>
      </c>
    </row>
    <row r="17" spans="1:17" x14ac:dyDescent="0.3">
      <c r="F17" t="s">
        <v>54</v>
      </c>
      <c r="G17" s="12">
        <v>1215</v>
      </c>
      <c r="H17" s="12">
        <f>+H29*3</f>
        <v>1378.98</v>
      </c>
      <c r="J17" s="102" t="s">
        <v>223</v>
      </c>
      <c r="K17" s="226">
        <v>1400</v>
      </c>
    </row>
    <row r="18" spans="1:17" ht="15.6" x14ac:dyDescent="0.3">
      <c r="A18" s="1" t="s">
        <v>69</v>
      </c>
      <c r="B18" s="248">
        <v>5600</v>
      </c>
      <c r="C18" t="s">
        <v>178</v>
      </c>
      <c r="F18" s="10" t="s">
        <v>49</v>
      </c>
      <c r="G18" s="11">
        <f>+$G$6+G16+G17</f>
        <v>26324.379999999997</v>
      </c>
      <c r="H18" s="11">
        <f>+$H$6+H16+H17</f>
        <v>28908.149999999998</v>
      </c>
      <c r="J18" s="102" t="s">
        <v>224</v>
      </c>
      <c r="K18" s="107">
        <v>1400</v>
      </c>
    </row>
    <row r="19" spans="1:17" ht="15" thickBot="1" x14ac:dyDescent="0.35">
      <c r="J19" s="102" t="s">
        <v>226</v>
      </c>
      <c r="K19" s="226">
        <v>1400</v>
      </c>
    </row>
    <row r="20" spans="1:17" ht="15" thickBot="1" x14ac:dyDescent="0.35">
      <c r="A20" s="146" t="s">
        <v>163</v>
      </c>
      <c r="B20" s="148">
        <f>D9*150</f>
        <v>1800</v>
      </c>
      <c r="C20" s="17" t="s">
        <v>165</v>
      </c>
      <c r="F20" t="s">
        <v>52</v>
      </c>
      <c r="G20" s="9">
        <v>11600</v>
      </c>
      <c r="H20" s="9">
        <v>10440</v>
      </c>
      <c r="J20" s="161"/>
      <c r="K20">
        <f>SUM(K16:K19)</f>
        <v>5600</v>
      </c>
    </row>
    <row r="21" spans="1:17" x14ac:dyDescent="0.3">
      <c r="A21" s="144"/>
      <c r="B21" s="145"/>
      <c r="C21" t="s">
        <v>178</v>
      </c>
      <c r="F21" t="s">
        <v>54</v>
      </c>
      <c r="G21" s="12">
        <v>1620</v>
      </c>
      <c r="H21" s="12">
        <f>+H29*4</f>
        <v>1838.64</v>
      </c>
      <c r="J21" s="114"/>
    </row>
    <row r="22" spans="1:17" ht="15.6" x14ac:dyDescent="0.3">
      <c r="A22" s="140"/>
      <c r="B22" s="141"/>
      <c r="F22" s="10" t="s">
        <v>49</v>
      </c>
      <c r="G22" s="11">
        <f>+$G$6+G20+G21</f>
        <v>29629.379999999997</v>
      </c>
      <c r="H22" s="11">
        <f>+$H$6+H20+H21</f>
        <v>31977.809999999998</v>
      </c>
      <c r="J22" s="272" t="s">
        <v>265</v>
      </c>
      <c r="K22" s="247"/>
      <c r="L22" s="247"/>
      <c r="M22" s="247"/>
      <c r="N22" s="247"/>
      <c r="O22" s="247"/>
      <c r="P22" s="247"/>
      <c r="Q22" s="247"/>
    </row>
    <row r="23" spans="1:17" x14ac:dyDescent="0.3">
      <c r="A23" s="140"/>
      <c r="B23" s="141"/>
      <c r="C23" s="14"/>
      <c r="J23" s="261" t="s">
        <v>279</v>
      </c>
      <c r="K23" s="265">
        <v>99</v>
      </c>
      <c r="L23" s="261" t="s">
        <v>257</v>
      </c>
      <c r="M23" s="261">
        <v>37.22</v>
      </c>
      <c r="N23" s="266" t="s">
        <v>313</v>
      </c>
      <c r="O23" s="265" t="s">
        <v>314</v>
      </c>
      <c r="P23" s="261" t="s">
        <v>261</v>
      </c>
      <c r="Q23" s="24">
        <v>200</v>
      </c>
    </row>
    <row r="24" spans="1:17" ht="15" thickBot="1" x14ac:dyDescent="0.35">
      <c r="A24" s="142"/>
      <c r="B24" s="143"/>
      <c r="C24" s="88"/>
      <c r="F24" t="s">
        <v>53</v>
      </c>
      <c r="G24" s="9">
        <v>14500</v>
      </c>
      <c r="H24" s="9">
        <v>13050</v>
      </c>
      <c r="J24" s="261" t="s">
        <v>262</v>
      </c>
      <c r="K24" s="261"/>
      <c r="L24" s="261" t="s">
        <v>257</v>
      </c>
      <c r="M24" s="261">
        <v>38.44</v>
      </c>
      <c r="N24" s="262" t="s">
        <v>313</v>
      </c>
      <c r="O24" s="265" t="s">
        <v>314</v>
      </c>
      <c r="P24" s="261" t="s">
        <v>261</v>
      </c>
      <c r="Q24" s="24">
        <v>200</v>
      </c>
    </row>
    <row r="25" spans="1:17" ht="15" thickBot="1" x14ac:dyDescent="0.35">
      <c r="C25" s="90"/>
      <c r="F25" t="s">
        <v>54</v>
      </c>
      <c r="G25" s="12">
        <v>2025</v>
      </c>
      <c r="H25" s="12">
        <f>+H29*5</f>
        <v>2298.3000000000002</v>
      </c>
      <c r="J25" s="261" t="s">
        <v>219</v>
      </c>
      <c r="K25" s="261"/>
      <c r="L25" s="261" t="s">
        <v>257</v>
      </c>
      <c r="M25" s="261">
        <v>34.659999999999997</v>
      </c>
      <c r="N25" s="262" t="s">
        <v>313</v>
      </c>
      <c r="O25" s="261" t="s">
        <v>314</v>
      </c>
      <c r="P25" s="261" t="s">
        <v>261</v>
      </c>
      <c r="Q25" s="24">
        <v>200</v>
      </c>
    </row>
    <row r="26" spans="1:17" ht="16.2" thickBot="1" x14ac:dyDescent="0.35">
      <c r="A26" s="146" t="s">
        <v>164</v>
      </c>
      <c r="B26" s="147">
        <f>SUM(B27:B30)</f>
        <v>600</v>
      </c>
      <c r="C26" s="17" t="s">
        <v>165</v>
      </c>
      <c r="F26" s="10" t="s">
        <v>49</v>
      </c>
      <c r="G26" s="11">
        <f>+$G$6+G24+G25</f>
        <v>32934.379999999997</v>
      </c>
      <c r="H26" s="11">
        <f>+$H$6+H24+H25</f>
        <v>35047.47</v>
      </c>
      <c r="J26" s="247"/>
      <c r="K26" s="247"/>
      <c r="L26" s="247"/>
      <c r="M26" s="247"/>
      <c r="N26" s="247"/>
      <c r="O26" s="247"/>
      <c r="P26" s="247"/>
      <c r="Q26" s="269">
        <f>SUM(Q23:Q25)</f>
        <v>600</v>
      </c>
    </row>
    <row r="27" spans="1:17" x14ac:dyDescent="0.3">
      <c r="A27" s="144" t="s">
        <v>167</v>
      </c>
      <c r="B27" s="145"/>
      <c r="J27" s="200"/>
    </row>
    <row r="28" spans="1:17" x14ac:dyDescent="0.3">
      <c r="A28" s="140" t="s">
        <v>173</v>
      </c>
      <c r="B28" s="284">
        <f>200*3</f>
        <v>600</v>
      </c>
      <c r="C28" t="s">
        <v>178</v>
      </c>
      <c r="J28" s="185"/>
    </row>
    <row r="29" spans="1:17" x14ac:dyDescent="0.3">
      <c r="A29" s="140"/>
      <c r="B29" s="141"/>
      <c r="F29" t="s">
        <v>61</v>
      </c>
      <c r="G29" s="14">
        <v>405</v>
      </c>
      <c r="H29" s="14">
        <v>459.66</v>
      </c>
    </row>
    <row r="30" spans="1:17" ht="15" thickBot="1" x14ac:dyDescent="0.35">
      <c r="A30" s="142"/>
      <c r="B30" s="143"/>
      <c r="F30" t="s">
        <v>64</v>
      </c>
      <c r="G30" s="14">
        <v>2900</v>
      </c>
      <c r="H30" s="14">
        <v>2610</v>
      </c>
    </row>
  </sheetData>
  <mergeCells count="3">
    <mergeCell ref="A1:C1"/>
    <mergeCell ref="F1:H1"/>
    <mergeCell ref="B5:C5"/>
  </mergeCells>
  <pageMargins left="0.7" right="0.7" top="0.75" bottom="0.75" header="0.3" footer="0.3"/>
  <pageSetup paperSize="9" orientation="portrait" horizontalDpi="4294967293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93135-DA8F-43DB-B7DA-300D06434E1E}">
  <sheetPr>
    <tabColor rgb="FFFFFF00"/>
  </sheetPr>
  <dimension ref="A1:Q41"/>
  <sheetViews>
    <sheetView zoomScaleNormal="100" workbookViewId="0">
      <selection activeCell="J32" sqref="J32"/>
    </sheetView>
  </sheetViews>
  <sheetFormatPr defaultColWidth="9.109375" defaultRowHeight="14.4" x14ac:dyDescent="0.3"/>
  <cols>
    <col min="1" max="1" width="48.33203125" bestFit="1" customWidth="1"/>
    <col min="2" max="2" width="14.5546875" customWidth="1"/>
    <col min="3" max="3" width="18.5546875" customWidth="1"/>
    <col min="4" max="4" width="10.109375" bestFit="1" customWidth="1"/>
    <col min="5" max="5" width="16.6640625" customWidth="1"/>
    <col min="6" max="6" width="21.5546875" bestFit="1" customWidth="1"/>
    <col min="7" max="7" width="15" hidden="1" customWidth="1"/>
    <col min="8" max="8" width="14.44140625" bestFit="1" customWidth="1"/>
    <col min="10" max="10" width="18.88671875" customWidth="1"/>
  </cols>
  <sheetData>
    <row r="1" spans="1:15" ht="15" thickBot="1" x14ac:dyDescent="0.35">
      <c r="A1" s="303" t="s">
        <v>81</v>
      </c>
      <c r="B1" s="304"/>
      <c r="C1" s="304"/>
      <c r="F1" s="305" t="s">
        <v>60</v>
      </c>
      <c r="G1" s="306"/>
      <c r="H1" s="307"/>
      <c r="I1">
        <v>1</v>
      </c>
      <c r="J1" s="156" t="s">
        <v>541</v>
      </c>
    </row>
    <row r="2" spans="1:15" x14ac:dyDescent="0.3">
      <c r="I2">
        <v>2</v>
      </c>
      <c r="J2" s="156" t="s">
        <v>542</v>
      </c>
    </row>
    <row r="3" spans="1:15" ht="15.6" x14ac:dyDescent="0.3">
      <c r="B3" s="13" t="s">
        <v>56</v>
      </c>
      <c r="C3" s="13" t="s">
        <v>57</v>
      </c>
      <c r="G3" s="13" t="s">
        <v>56</v>
      </c>
      <c r="H3" s="13" t="s">
        <v>57</v>
      </c>
      <c r="I3">
        <v>3</v>
      </c>
      <c r="J3" s="103" t="s">
        <v>543</v>
      </c>
    </row>
    <row r="4" spans="1:15" x14ac:dyDescent="0.3">
      <c r="F4" t="s">
        <v>46</v>
      </c>
      <c r="G4" s="8">
        <v>13574.38</v>
      </c>
      <c r="H4" s="9">
        <v>16481.55</v>
      </c>
      <c r="I4">
        <v>4</v>
      </c>
      <c r="J4" s="103" t="s">
        <v>544</v>
      </c>
    </row>
    <row r="5" spans="1:15" x14ac:dyDescent="0.3">
      <c r="A5" s="1" t="s">
        <v>58</v>
      </c>
      <c r="B5" s="308">
        <f>+H4</f>
        <v>16481.55</v>
      </c>
      <c r="C5" s="308"/>
      <c r="F5" t="s">
        <v>55</v>
      </c>
      <c r="G5" s="8">
        <v>2835</v>
      </c>
      <c r="H5" s="8">
        <f>+H29*7</f>
        <v>3217.6200000000003</v>
      </c>
      <c r="I5">
        <v>5</v>
      </c>
      <c r="J5" s="76" t="s">
        <v>545</v>
      </c>
      <c r="K5" s="174"/>
      <c r="L5" s="174"/>
      <c r="M5" s="177"/>
    </row>
    <row r="6" spans="1:15" ht="15.6" x14ac:dyDescent="0.3">
      <c r="A6" s="1" t="s">
        <v>65</v>
      </c>
      <c r="B6" s="4">
        <v>0</v>
      </c>
      <c r="C6" s="26">
        <v>7</v>
      </c>
      <c r="F6" s="10" t="s">
        <v>47</v>
      </c>
      <c r="G6" s="11">
        <f>SUM(G4:G5)</f>
        <v>16409.379999999997</v>
      </c>
      <c r="H6" s="11">
        <f>SUM(H4:H5)</f>
        <v>19699.169999999998</v>
      </c>
      <c r="I6">
        <v>6</v>
      </c>
      <c r="J6" s="133" t="s">
        <v>546</v>
      </c>
      <c r="K6" s="112"/>
      <c r="L6" s="169"/>
      <c r="M6" s="169"/>
    </row>
    <row r="7" spans="1:15" x14ac:dyDescent="0.3">
      <c r="A7" s="1" t="s">
        <v>59</v>
      </c>
      <c r="B7" s="15">
        <f>+$G$29*B6</f>
        <v>0</v>
      </c>
      <c r="C7" s="15">
        <f>+H5</f>
        <v>3217.6200000000003</v>
      </c>
      <c r="I7">
        <v>7</v>
      </c>
      <c r="J7" s="156" t="s">
        <v>547</v>
      </c>
      <c r="K7" s="86"/>
      <c r="L7" s="169"/>
      <c r="M7" s="169"/>
    </row>
    <row r="8" spans="1:15" x14ac:dyDescent="0.3">
      <c r="F8" t="s">
        <v>48</v>
      </c>
      <c r="G8" s="9">
        <v>2900</v>
      </c>
      <c r="H8" s="9">
        <v>2610</v>
      </c>
      <c r="I8">
        <v>8</v>
      </c>
      <c r="J8" s="156" t="s">
        <v>548</v>
      </c>
      <c r="K8" s="86"/>
      <c r="L8" s="86"/>
      <c r="M8" s="173"/>
    </row>
    <row r="9" spans="1:15" x14ac:dyDescent="0.3">
      <c r="A9" s="1" t="s">
        <v>63</v>
      </c>
      <c r="B9" s="4">
        <v>0</v>
      </c>
      <c r="C9" s="4">
        <v>7</v>
      </c>
      <c r="D9" s="24">
        <f>+C6+C9</f>
        <v>14</v>
      </c>
      <c r="F9" t="s">
        <v>54</v>
      </c>
      <c r="G9" s="12">
        <v>405</v>
      </c>
      <c r="H9" s="12">
        <f>+H29</f>
        <v>459.66</v>
      </c>
      <c r="I9">
        <v>9</v>
      </c>
      <c r="J9" s="103" t="s">
        <v>549</v>
      </c>
      <c r="K9" s="86"/>
      <c r="L9" s="86"/>
      <c r="M9" s="172"/>
      <c r="O9" s="70" t="s">
        <v>169</v>
      </c>
    </row>
    <row r="10" spans="1:15" ht="15.6" x14ac:dyDescent="0.3">
      <c r="A10" s="1" t="s">
        <v>62</v>
      </c>
      <c r="B10" s="15">
        <f>+$G$30*B9</f>
        <v>0</v>
      </c>
      <c r="C10" s="15">
        <f>+$H$30*C9</f>
        <v>18270</v>
      </c>
      <c r="D10" s="18"/>
      <c r="F10" s="10" t="s">
        <v>49</v>
      </c>
      <c r="G10" s="11">
        <f>+$G$6+G8+G9</f>
        <v>19714.379999999997</v>
      </c>
      <c r="H10" s="11">
        <f>+$H$6+H8+H9</f>
        <v>22768.829999999998</v>
      </c>
      <c r="I10">
        <v>10</v>
      </c>
      <c r="J10" s="133" t="s">
        <v>550</v>
      </c>
      <c r="K10" s="86"/>
      <c r="L10" s="173"/>
      <c r="M10" s="86"/>
      <c r="O10" s="70" t="s">
        <v>170</v>
      </c>
    </row>
    <row r="11" spans="1:15" x14ac:dyDescent="0.3">
      <c r="A11" s="1" t="s">
        <v>67</v>
      </c>
      <c r="B11" s="15">
        <f>+$G$29*B9</f>
        <v>0</v>
      </c>
      <c r="C11" s="15">
        <f>+$H$29*C9</f>
        <v>3217.6200000000003</v>
      </c>
      <c r="I11">
        <v>11</v>
      </c>
      <c r="J11" s="133" t="s">
        <v>551</v>
      </c>
      <c r="K11" s="86"/>
      <c r="L11" s="169"/>
      <c r="M11" s="175"/>
    </row>
    <row r="12" spans="1:15" x14ac:dyDescent="0.3">
      <c r="E12" s="14"/>
      <c r="F12" t="s">
        <v>50</v>
      </c>
      <c r="G12" s="9">
        <v>5800</v>
      </c>
      <c r="H12" s="9">
        <v>5220</v>
      </c>
      <c r="I12">
        <v>12</v>
      </c>
      <c r="J12" s="156" t="s">
        <v>337</v>
      </c>
      <c r="K12" s="62"/>
      <c r="L12" s="62"/>
      <c r="M12" s="176"/>
    </row>
    <row r="13" spans="1:15" x14ac:dyDescent="0.3">
      <c r="F13" t="s">
        <v>54</v>
      </c>
      <c r="G13" s="12">
        <v>810</v>
      </c>
      <c r="H13" s="12">
        <f>+H29*2</f>
        <v>919.32</v>
      </c>
      <c r="I13">
        <v>13</v>
      </c>
      <c r="J13" s="65" t="s">
        <v>552</v>
      </c>
    </row>
    <row r="14" spans="1:15" ht="15.6" x14ac:dyDescent="0.3">
      <c r="D14" s="14"/>
      <c r="F14" s="10" t="s">
        <v>49</v>
      </c>
      <c r="G14" s="11">
        <f>+$G$6+G12+G13</f>
        <v>23019.379999999997</v>
      </c>
      <c r="H14" s="11">
        <f>+$H$6+H12+H13</f>
        <v>25838.489999999998</v>
      </c>
      <c r="I14">
        <v>14</v>
      </c>
      <c r="J14" s="65" t="s">
        <v>553</v>
      </c>
      <c r="K14">
        <f>14*150</f>
        <v>2100</v>
      </c>
    </row>
    <row r="15" spans="1:15" x14ac:dyDescent="0.3">
      <c r="A15" s="1" t="s">
        <v>68</v>
      </c>
      <c r="B15" s="15">
        <f>+B10+C10</f>
        <v>18270</v>
      </c>
      <c r="J15" t="s">
        <v>212</v>
      </c>
    </row>
    <row r="16" spans="1:15" x14ac:dyDescent="0.3">
      <c r="A16" s="80" t="s">
        <v>66</v>
      </c>
      <c r="B16" s="81">
        <f>B7+C7+B11+C11</f>
        <v>6435.2400000000007</v>
      </c>
      <c r="C16" s="18"/>
      <c r="D16" s="18"/>
      <c r="F16" t="s">
        <v>51</v>
      </c>
      <c r="G16" s="9">
        <v>8700</v>
      </c>
      <c r="H16" s="9">
        <v>7830</v>
      </c>
      <c r="J16" s="153" t="s">
        <v>221</v>
      </c>
      <c r="K16" s="226">
        <v>1400</v>
      </c>
    </row>
    <row r="17" spans="1:17" x14ac:dyDescent="0.3">
      <c r="F17" t="s">
        <v>54</v>
      </c>
      <c r="G17" s="12">
        <v>1215</v>
      </c>
      <c r="H17" s="12">
        <f>+H29*3</f>
        <v>1378.98</v>
      </c>
      <c r="J17" s="102" t="s">
        <v>223</v>
      </c>
      <c r="K17" s="226">
        <v>1400</v>
      </c>
    </row>
    <row r="18" spans="1:17" ht="15.6" x14ac:dyDescent="0.3">
      <c r="A18" s="1" t="s">
        <v>69</v>
      </c>
      <c r="B18" s="248">
        <v>5600</v>
      </c>
      <c r="C18" t="s">
        <v>178</v>
      </c>
      <c r="F18" s="10" t="s">
        <v>49</v>
      </c>
      <c r="G18" s="11">
        <f>+$G$6+G16+G17</f>
        <v>26324.379999999997</v>
      </c>
      <c r="H18" s="11">
        <f>+$H$6+H16+H17</f>
        <v>28908.149999999998</v>
      </c>
      <c r="J18" s="102" t="s">
        <v>231</v>
      </c>
      <c r="K18" s="107">
        <v>1400</v>
      </c>
    </row>
    <row r="19" spans="1:17" ht="15" thickBot="1" x14ac:dyDescent="0.35">
      <c r="J19" s="102" t="s">
        <v>226</v>
      </c>
      <c r="K19" s="226">
        <v>1400</v>
      </c>
    </row>
    <row r="20" spans="1:17" ht="15" thickBot="1" x14ac:dyDescent="0.35">
      <c r="A20" s="146" t="s">
        <v>163</v>
      </c>
      <c r="B20" s="148">
        <f>D9*150</f>
        <v>2100</v>
      </c>
      <c r="C20" s="17" t="s">
        <v>165</v>
      </c>
      <c r="F20" t="s">
        <v>52</v>
      </c>
      <c r="G20" s="9">
        <v>11600</v>
      </c>
      <c r="H20" s="9">
        <v>10440</v>
      </c>
      <c r="K20" s="167">
        <f>SUM(K16:K19)</f>
        <v>5600</v>
      </c>
    </row>
    <row r="21" spans="1:17" x14ac:dyDescent="0.3">
      <c r="A21" s="144"/>
      <c r="B21" s="145"/>
      <c r="C21" t="s">
        <v>178</v>
      </c>
      <c r="F21" t="s">
        <v>54</v>
      </c>
      <c r="G21" s="12">
        <v>1620</v>
      </c>
      <c r="H21" s="12">
        <f>+H29*4</f>
        <v>1838.64</v>
      </c>
      <c r="J21" s="274" t="s">
        <v>265</v>
      </c>
      <c r="K21" s="273"/>
      <c r="L21" s="247"/>
      <c r="M21" s="247"/>
      <c r="N21" s="247"/>
      <c r="O21" s="247"/>
      <c r="P21" s="247"/>
      <c r="Q21" s="247"/>
    </row>
    <row r="22" spans="1:17" ht="15.6" x14ac:dyDescent="0.3">
      <c r="A22" s="140"/>
      <c r="B22" s="141"/>
      <c r="F22" s="10" t="s">
        <v>49</v>
      </c>
      <c r="G22" s="11">
        <f>+$G$6+G20+G21</f>
        <v>29629.379999999997</v>
      </c>
      <c r="H22" s="11">
        <f>+$H$6+H20+H21</f>
        <v>31977.809999999998</v>
      </c>
      <c r="J22" s="261" t="s">
        <v>305</v>
      </c>
      <c r="K22" s="265">
        <v>47</v>
      </c>
      <c r="L22" s="261" t="s">
        <v>257</v>
      </c>
      <c r="M22" s="261">
        <v>38.9</v>
      </c>
      <c r="N22" s="266" t="s">
        <v>315</v>
      </c>
      <c r="O22" s="265" t="s">
        <v>316</v>
      </c>
      <c r="P22" s="261" t="s">
        <v>261</v>
      </c>
      <c r="Q22" s="24">
        <v>200</v>
      </c>
    </row>
    <row r="23" spans="1:17" x14ac:dyDescent="0.3">
      <c r="A23" s="140"/>
      <c r="B23" s="141"/>
      <c r="C23" s="14"/>
      <c r="D23" s="17"/>
      <c r="J23" s="261" t="s">
        <v>262</v>
      </c>
      <c r="K23" s="261"/>
      <c r="L23" s="261" t="s">
        <v>257</v>
      </c>
      <c r="M23" s="261">
        <v>39.26</v>
      </c>
      <c r="N23" s="262" t="s">
        <v>315</v>
      </c>
      <c r="O23" s="261" t="s">
        <v>316</v>
      </c>
      <c r="P23" s="261" t="s">
        <v>261</v>
      </c>
      <c r="Q23" s="24">
        <v>200</v>
      </c>
    </row>
    <row r="24" spans="1:17" ht="15" thickBot="1" x14ac:dyDescent="0.35">
      <c r="A24" s="142"/>
      <c r="B24" s="143"/>
      <c r="C24" s="88"/>
      <c r="F24" t="s">
        <v>53</v>
      </c>
      <c r="G24" s="9">
        <v>14500</v>
      </c>
      <c r="H24" s="9">
        <v>13050</v>
      </c>
      <c r="J24" s="261" t="s">
        <v>219</v>
      </c>
      <c r="K24" s="261"/>
      <c r="L24" s="261" t="s">
        <v>257</v>
      </c>
      <c r="M24" s="261">
        <v>34.64</v>
      </c>
      <c r="N24" s="262" t="s">
        <v>315</v>
      </c>
      <c r="O24" s="261" t="s">
        <v>316</v>
      </c>
      <c r="P24" s="261" t="s">
        <v>261</v>
      </c>
      <c r="Q24" s="24">
        <v>200</v>
      </c>
    </row>
    <row r="25" spans="1:17" ht="15" thickBot="1" x14ac:dyDescent="0.35">
      <c r="C25" s="90"/>
      <c r="F25" t="s">
        <v>54</v>
      </c>
      <c r="G25" s="12">
        <v>2025</v>
      </c>
      <c r="H25" s="12">
        <f>+H29*5</f>
        <v>2298.3000000000002</v>
      </c>
      <c r="J25" s="247"/>
      <c r="K25" s="273"/>
      <c r="L25" s="247"/>
      <c r="M25" s="247"/>
      <c r="N25" s="247"/>
      <c r="O25" s="247"/>
      <c r="P25" s="247"/>
      <c r="Q25" s="269">
        <f>SUM(Q22:Q24)</f>
        <v>600</v>
      </c>
    </row>
    <row r="26" spans="1:17" ht="16.2" thickBot="1" x14ac:dyDescent="0.35">
      <c r="A26" s="146" t="s">
        <v>164</v>
      </c>
      <c r="B26" s="147">
        <f>SUM(B27:B30)</f>
        <v>600</v>
      </c>
      <c r="C26" s="17" t="s">
        <v>165</v>
      </c>
      <c r="D26" s="18"/>
      <c r="E26" s="18"/>
      <c r="F26" s="10" t="s">
        <v>49</v>
      </c>
      <c r="G26" s="11">
        <f>+$G$6+G24+G25</f>
        <v>32934.379999999997</v>
      </c>
      <c r="H26" s="11">
        <f>+$H$6+H24+H25</f>
        <v>35047.47</v>
      </c>
      <c r="K26" s="168"/>
    </row>
    <row r="27" spans="1:17" x14ac:dyDescent="0.3">
      <c r="A27" s="144" t="s">
        <v>167</v>
      </c>
      <c r="B27" s="145"/>
      <c r="K27" s="168"/>
    </row>
    <row r="28" spans="1:17" x14ac:dyDescent="0.3">
      <c r="A28" s="140" t="s">
        <v>173</v>
      </c>
      <c r="B28" s="284">
        <f>200*3</f>
        <v>600</v>
      </c>
      <c r="C28" s="17" t="s">
        <v>178</v>
      </c>
      <c r="D28" s="17"/>
      <c r="K28" s="168"/>
    </row>
    <row r="29" spans="1:17" x14ac:dyDescent="0.3">
      <c r="A29" s="140"/>
      <c r="B29" s="141"/>
      <c r="C29" s="17"/>
      <c r="D29" s="17"/>
      <c r="F29" t="s">
        <v>61</v>
      </c>
      <c r="G29" s="14">
        <v>405</v>
      </c>
      <c r="H29" s="14">
        <v>459.66</v>
      </c>
    </row>
    <row r="30" spans="1:17" ht="15" thickBot="1" x14ac:dyDescent="0.35">
      <c r="A30" s="142"/>
      <c r="B30" s="143"/>
      <c r="F30" t="s">
        <v>64</v>
      </c>
      <c r="G30" s="14">
        <v>2900</v>
      </c>
      <c r="H30" s="14">
        <v>2610</v>
      </c>
    </row>
    <row r="31" spans="1:17" x14ac:dyDescent="0.3">
      <c r="A31" s="75"/>
      <c r="G31" s="14"/>
      <c r="H31" s="14"/>
    </row>
    <row r="32" spans="1:17" x14ac:dyDescent="0.3">
      <c r="A32" s="18"/>
    </row>
    <row r="33" spans="1:1" x14ac:dyDescent="0.3">
      <c r="A33" s="17" t="s">
        <v>197</v>
      </c>
    </row>
    <row r="34" spans="1:1" x14ac:dyDescent="0.3">
      <c r="A34" s="17" t="s">
        <v>198</v>
      </c>
    </row>
    <row r="35" spans="1:1" x14ac:dyDescent="0.3">
      <c r="A35" s="17"/>
    </row>
    <row r="37" spans="1:1" x14ac:dyDescent="0.3">
      <c r="A37" s="75"/>
    </row>
    <row r="38" spans="1:1" x14ac:dyDescent="0.3">
      <c r="A38" s="18"/>
    </row>
    <row r="39" spans="1:1" x14ac:dyDescent="0.3">
      <c r="A39" s="17"/>
    </row>
    <row r="40" spans="1:1" x14ac:dyDescent="0.3">
      <c r="A40" s="17"/>
    </row>
    <row r="41" spans="1:1" x14ac:dyDescent="0.3">
      <c r="A41" s="17"/>
    </row>
  </sheetData>
  <mergeCells count="3">
    <mergeCell ref="A1:C1"/>
    <mergeCell ref="F1:H1"/>
    <mergeCell ref="B5:C5"/>
  </mergeCells>
  <pageMargins left="0.7" right="0.7" top="0.75" bottom="0.75" header="0.3" footer="0.3"/>
  <pageSetup paperSize="9" orientation="portrait" horizontalDpi="4294967293" verticalDpi="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D500E-CB09-4C5C-B728-B842878043A1}">
  <sheetPr>
    <tabColor rgb="FFFFFF00"/>
  </sheetPr>
  <dimension ref="A1:Q37"/>
  <sheetViews>
    <sheetView zoomScale="90" zoomScaleNormal="90" workbookViewId="0">
      <selection activeCell="B20" sqref="B20"/>
    </sheetView>
  </sheetViews>
  <sheetFormatPr defaultColWidth="9.109375" defaultRowHeight="14.4" x14ac:dyDescent="0.3"/>
  <cols>
    <col min="1" max="1" width="41.109375" customWidth="1"/>
    <col min="2" max="2" width="14.5546875" customWidth="1"/>
    <col min="3" max="3" width="16.5546875" customWidth="1"/>
    <col min="4" max="4" width="10.109375" bestFit="1" customWidth="1"/>
    <col min="5" max="5" width="22.44140625" customWidth="1"/>
    <col min="6" max="6" width="21.5546875" bestFit="1" customWidth="1"/>
    <col min="7" max="7" width="15" hidden="1" customWidth="1"/>
    <col min="8" max="8" width="14.44140625" bestFit="1" customWidth="1"/>
    <col min="10" max="10" width="18.88671875" customWidth="1"/>
    <col min="11" max="11" width="10.109375" bestFit="1" customWidth="1"/>
  </cols>
  <sheetData>
    <row r="1" spans="1:14" ht="15" thickBot="1" x14ac:dyDescent="0.35">
      <c r="A1" s="303" t="s">
        <v>80</v>
      </c>
      <c r="B1" s="304"/>
      <c r="C1" s="304"/>
      <c r="F1" s="305" t="s">
        <v>60</v>
      </c>
      <c r="G1" s="306"/>
      <c r="H1" s="307"/>
      <c r="I1">
        <v>1</v>
      </c>
      <c r="J1" s="103" t="s">
        <v>554</v>
      </c>
    </row>
    <row r="2" spans="1:14" x14ac:dyDescent="0.3">
      <c r="A2" t="s">
        <v>72</v>
      </c>
      <c r="I2">
        <v>2</v>
      </c>
      <c r="J2" s="103" t="s">
        <v>555</v>
      </c>
    </row>
    <row r="3" spans="1:14" ht="15.6" x14ac:dyDescent="0.3">
      <c r="B3" s="13" t="s">
        <v>56</v>
      </c>
      <c r="C3" s="13" t="s">
        <v>57</v>
      </c>
      <c r="G3" s="13" t="s">
        <v>56</v>
      </c>
      <c r="H3" s="13" t="s">
        <v>57</v>
      </c>
      <c r="I3">
        <v>3</v>
      </c>
      <c r="J3" s="103" t="s">
        <v>556</v>
      </c>
      <c r="K3" s="16"/>
    </row>
    <row r="4" spans="1:14" x14ac:dyDescent="0.3">
      <c r="F4" t="s">
        <v>46</v>
      </c>
      <c r="G4" s="8">
        <v>13574.38</v>
      </c>
      <c r="H4" s="9">
        <v>16481.55</v>
      </c>
      <c r="I4">
        <v>4</v>
      </c>
      <c r="J4" s="103" t="s">
        <v>557</v>
      </c>
    </row>
    <row r="5" spans="1:14" x14ac:dyDescent="0.3">
      <c r="A5" s="1" t="s">
        <v>58</v>
      </c>
      <c r="B5" s="308">
        <f>+H4</f>
        <v>16481.55</v>
      </c>
      <c r="C5" s="308"/>
      <c r="F5" t="s">
        <v>55</v>
      </c>
      <c r="G5" s="8">
        <v>2835</v>
      </c>
      <c r="H5" s="8">
        <f>+H29*7</f>
        <v>3217.6200000000003</v>
      </c>
      <c r="I5">
        <v>5</v>
      </c>
      <c r="J5" s="103" t="s">
        <v>558</v>
      </c>
      <c r="K5" s="195"/>
      <c r="L5" s="195"/>
      <c r="M5" s="195"/>
    </row>
    <row r="6" spans="1:14" ht="15.6" x14ac:dyDescent="0.3">
      <c r="A6" s="1" t="s">
        <v>65</v>
      </c>
      <c r="B6" s="4">
        <v>0</v>
      </c>
      <c r="C6" s="26">
        <v>7</v>
      </c>
      <c r="F6" s="10" t="s">
        <v>47</v>
      </c>
      <c r="G6" s="11">
        <f>SUM(G4:G5)</f>
        <v>16409.379999999997</v>
      </c>
      <c r="H6" s="11">
        <f>SUM(H4:H5)</f>
        <v>19699.169999999998</v>
      </c>
      <c r="I6">
        <v>6</v>
      </c>
      <c r="J6" s="103" t="s">
        <v>559</v>
      </c>
      <c r="K6" s="181"/>
    </row>
    <row r="7" spans="1:14" x14ac:dyDescent="0.3">
      <c r="A7" s="1" t="s">
        <v>59</v>
      </c>
      <c r="B7" s="15">
        <f>+$G$29*B6</f>
        <v>0</v>
      </c>
      <c r="C7" s="15">
        <f>+H5</f>
        <v>3217.6200000000003</v>
      </c>
      <c r="I7">
        <v>7</v>
      </c>
      <c r="J7" s="103" t="s">
        <v>560</v>
      </c>
      <c r="K7" s="182"/>
    </row>
    <row r="8" spans="1:14" x14ac:dyDescent="0.3">
      <c r="F8" t="s">
        <v>48</v>
      </c>
      <c r="G8" s="9">
        <v>2900</v>
      </c>
      <c r="H8" s="9">
        <v>2610</v>
      </c>
      <c r="I8">
        <v>8</v>
      </c>
      <c r="J8" s="156" t="s">
        <v>561</v>
      </c>
      <c r="K8" s="182"/>
    </row>
    <row r="9" spans="1:14" x14ac:dyDescent="0.3">
      <c r="A9" s="1" t="s">
        <v>63</v>
      </c>
      <c r="B9" s="4">
        <v>0</v>
      </c>
      <c r="C9" s="4">
        <v>6</v>
      </c>
      <c r="D9" s="24">
        <f>+C6+C9</f>
        <v>13</v>
      </c>
      <c r="F9" t="s">
        <v>54</v>
      </c>
      <c r="G9" s="12">
        <v>405</v>
      </c>
      <c r="H9" s="12">
        <f>+H29</f>
        <v>459.66</v>
      </c>
      <c r="I9">
        <v>9</v>
      </c>
      <c r="J9" s="103" t="s">
        <v>562</v>
      </c>
      <c r="K9" s="181"/>
      <c r="N9" s="70" t="s">
        <v>169</v>
      </c>
    </row>
    <row r="10" spans="1:14" ht="15.6" x14ac:dyDescent="0.3">
      <c r="A10" s="1" t="s">
        <v>62</v>
      </c>
      <c r="B10" s="15">
        <f>+$G$30*B9</f>
        <v>0</v>
      </c>
      <c r="C10" s="15">
        <f>+$H$30*C9</f>
        <v>15660</v>
      </c>
      <c r="F10" s="10" t="s">
        <v>49</v>
      </c>
      <c r="G10" s="11">
        <f>+$G$6+G8+G9</f>
        <v>19714.379999999997</v>
      </c>
      <c r="H10" s="11">
        <f>+$H$6+H8+H9</f>
        <v>22768.829999999998</v>
      </c>
      <c r="I10">
        <v>10</v>
      </c>
      <c r="J10" s="103" t="s">
        <v>563</v>
      </c>
      <c r="K10" s="181"/>
      <c r="N10" s="70" t="s">
        <v>170</v>
      </c>
    </row>
    <row r="11" spans="1:14" x14ac:dyDescent="0.3">
      <c r="A11" s="1" t="s">
        <v>67</v>
      </c>
      <c r="B11" s="15">
        <f>+$G$29*B9</f>
        <v>0</v>
      </c>
      <c r="C11" s="15">
        <f>+$H$29*C9</f>
        <v>2757.96</v>
      </c>
      <c r="I11">
        <v>11</v>
      </c>
      <c r="J11" s="229" t="s">
        <v>564</v>
      </c>
      <c r="K11" s="197"/>
    </row>
    <row r="12" spans="1:14" x14ac:dyDescent="0.3">
      <c r="F12" t="s">
        <v>50</v>
      </c>
      <c r="G12" s="9">
        <v>5800</v>
      </c>
      <c r="H12" s="9">
        <v>5220</v>
      </c>
      <c r="I12">
        <v>12</v>
      </c>
      <c r="J12" s="103" t="s">
        <v>565</v>
      </c>
    </row>
    <row r="13" spans="1:14" x14ac:dyDescent="0.3">
      <c r="F13" t="s">
        <v>54</v>
      </c>
      <c r="G13" s="12">
        <v>810</v>
      </c>
      <c r="H13" s="12">
        <f>+H29*2</f>
        <v>919.32</v>
      </c>
      <c r="I13">
        <v>13</v>
      </c>
      <c r="J13" s="97" t="s">
        <v>565</v>
      </c>
    </row>
    <row r="14" spans="1:14" ht="15.6" x14ac:dyDescent="0.3">
      <c r="F14" s="10" t="s">
        <v>49</v>
      </c>
      <c r="G14" s="11">
        <f>+$G$6+G12+G13</f>
        <v>23019.379999999997</v>
      </c>
      <c r="H14" s="11">
        <f>+$H$6+H12+H13</f>
        <v>25838.489999999998</v>
      </c>
      <c r="J14">
        <f>13*150</f>
        <v>1950</v>
      </c>
    </row>
    <row r="15" spans="1:14" x14ac:dyDescent="0.3">
      <c r="A15" s="1" t="s">
        <v>68</v>
      </c>
      <c r="B15" s="15">
        <f>+B10+C10</f>
        <v>15660</v>
      </c>
    </row>
    <row r="16" spans="1:14" x14ac:dyDescent="0.3">
      <c r="A16" s="80" t="s">
        <v>66</v>
      </c>
      <c r="B16" s="81">
        <f>C7+B7+B11+C11</f>
        <v>5975.58</v>
      </c>
      <c r="C16" s="18"/>
      <c r="D16" s="20"/>
      <c r="F16" t="s">
        <v>51</v>
      </c>
      <c r="G16" s="9">
        <v>8700</v>
      </c>
      <c r="H16" s="9">
        <v>7830</v>
      </c>
    </row>
    <row r="17" spans="1:17" x14ac:dyDescent="0.3">
      <c r="C17" s="18"/>
      <c r="D17" s="18"/>
      <c r="F17" t="s">
        <v>54</v>
      </c>
      <c r="G17" s="12">
        <v>1215</v>
      </c>
      <c r="H17" s="12">
        <f>+H29*3</f>
        <v>1378.98</v>
      </c>
      <c r="J17" t="s">
        <v>230</v>
      </c>
    </row>
    <row r="18" spans="1:17" ht="15.6" x14ac:dyDescent="0.3">
      <c r="A18" s="1" t="s">
        <v>69</v>
      </c>
      <c r="B18" s="248">
        <v>5600</v>
      </c>
      <c r="C18" t="s">
        <v>178</v>
      </c>
      <c r="F18" s="10" t="s">
        <v>49</v>
      </c>
      <c r="G18" s="11">
        <f>+$G$6+G16+G17</f>
        <v>26324.379999999997</v>
      </c>
      <c r="H18" s="11">
        <f>+$H$6+H16+H17</f>
        <v>28908.149999999998</v>
      </c>
      <c r="J18" s="153" t="s">
        <v>225</v>
      </c>
      <c r="K18" s="226">
        <v>1400</v>
      </c>
      <c r="L18" s="83"/>
    </row>
    <row r="19" spans="1:17" ht="15" thickBot="1" x14ac:dyDescent="0.35">
      <c r="J19" s="102" t="s">
        <v>223</v>
      </c>
      <c r="K19" s="226">
        <v>1400</v>
      </c>
      <c r="L19" s="83"/>
    </row>
    <row r="20" spans="1:17" ht="15" thickBot="1" x14ac:dyDescent="0.35">
      <c r="A20" s="146" t="s">
        <v>163</v>
      </c>
      <c r="B20" s="148">
        <f>D9*150</f>
        <v>1950</v>
      </c>
      <c r="C20" s="17" t="s">
        <v>165</v>
      </c>
      <c r="F20" t="s">
        <v>52</v>
      </c>
      <c r="G20" s="9">
        <v>11600</v>
      </c>
      <c r="H20" s="9">
        <v>10440</v>
      </c>
      <c r="J20" s="102" t="s">
        <v>231</v>
      </c>
      <c r="K20" s="107">
        <v>1400</v>
      </c>
      <c r="L20" s="83"/>
    </row>
    <row r="21" spans="1:17" x14ac:dyDescent="0.3">
      <c r="A21" s="144"/>
      <c r="B21" s="145"/>
      <c r="C21" t="s">
        <v>178</v>
      </c>
      <c r="F21" t="s">
        <v>54</v>
      </c>
      <c r="G21" s="12">
        <v>1620</v>
      </c>
      <c r="H21" s="12">
        <f>+H29*4</f>
        <v>1838.64</v>
      </c>
      <c r="J21" s="102" t="s">
        <v>226</v>
      </c>
      <c r="K21" s="226">
        <v>1400</v>
      </c>
    </row>
    <row r="22" spans="1:17" ht="15.6" x14ac:dyDescent="0.3">
      <c r="A22" s="140"/>
      <c r="B22" s="141"/>
      <c r="F22" s="10" t="s">
        <v>49</v>
      </c>
      <c r="G22" s="11">
        <f>+$G$6+G20+G21</f>
        <v>29629.379999999997</v>
      </c>
      <c r="H22" s="11">
        <f>+$H$6+H20+H21</f>
        <v>31977.809999999998</v>
      </c>
      <c r="J22" s="74"/>
      <c r="K22">
        <f>SUM(K18:K21)</f>
        <v>5600</v>
      </c>
    </row>
    <row r="23" spans="1:17" x14ac:dyDescent="0.3">
      <c r="A23" s="140"/>
      <c r="B23" s="141"/>
      <c r="C23" s="14"/>
      <c r="J23" s="198"/>
    </row>
    <row r="24" spans="1:17" ht="15" thickBot="1" x14ac:dyDescent="0.35">
      <c r="A24" s="142"/>
      <c r="B24" s="143"/>
      <c r="C24" s="88"/>
      <c r="F24" t="s">
        <v>53</v>
      </c>
      <c r="G24" s="9">
        <v>14500</v>
      </c>
      <c r="H24" s="9">
        <v>13050</v>
      </c>
      <c r="J24" s="275" t="s">
        <v>265</v>
      </c>
      <c r="K24" s="247"/>
      <c r="L24" s="247"/>
      <c r="M24" s="247"/>
      <c r="N24" s="247"/>
      <c r="O24" s="247"/>
      <c r="P24" s="247"/>
      <c r="Q24" s="247"/>
    </row>
    <row r="25" spans="1:17" ht="15" thickBot="1" x14ac:dyDescent="0.35">
      <c r="C25" s="90"/>
      <c r="F25" t="s">
        <v>54</v>
      </c>
      <c r="G25" s="12">
        <v>2025</v>
      </c>
      <c r="H25" s="12">
        <f>+H29*5</f>
        <v>2298.3000000000002</v>
      </c>
      <c r="J25" s="261" t="s">
        <v>259</v>
      </c>
      <c r="K25" s="261">
        <v>42</v>
      </c>
      <c r="L25" s="261" t="s">
        <v>257</v>
      </c>
      <c r="M25" s="261">
        <v>40.06</v>
      </c>
      <c r="N25" s="262" t="s">
        <v>317</v>
      </c>
      <c r="O25" s="261" t="s">
        <v>318</v>
      </c>
      <c r="P25" s="261" t="s">
        <v>261</v>
      </c>
      <c r="Q25" s="24">
        <v>200</v>
      </c>
    </row>
    <row r="26" spans="1:17" ht="16.2" thickBot="1" x14ac:dyDescent="0.35">
      <c r="A26" s="146" t="s">
        <v>164</v>
      </c>
      <c r="B26" s="147">
        <f>SUM(B27:B30)</f>
        <v>400</v>
      </c>
      <c r="C26" s="17" t="s">
        <v>165</v>
      </c>
      <c r="F26" s="10" t="s">
        <v>49</v>
      </c>
      <c r="G26" s="11">
        <f>+$G$6+G24+G25</f>
        <v>32934.379999999997</v>
      </c>
      <c r="H26" s="11">
        <f>+$H$6+H24+H25</f>
        <v>35047.47</v>
      </c>
      <c r="J26" s="261" t="s">
        <v>262</v>
      </c>
      <c r="K26" s="261"/>
      <c r="L26" s="261" t="s">
        <v>257</v>
      </c>
      <c r="M26" s="261">
        <v>38.619999999999997</v>
      </c>
      <c r="N26" s="262" t="s">
        <v>317</v>
      </c>
      <c r="O26" s="261" t="s">
        <v>318</v>
      </c>
      <c r="P26" s="261" t="s">
        <v>261</v>
      </c>
      <c r="Q26" s="24">
        <v>200</v>
      </c>
    </row>
    <row r="27" spans="1:17" x14ac:dyDescent="0.3">
      <c r="A27" s="144" t="s">
        <v>167</v>
      </c>
      <c r="B27" s="145"/>
      <c r="J27" s="247"/>
      <c r="K27" s="247"/>
      <c r="L27" s="247"/>
      <c r="M27" s="247"/>
      <c r="N27" s="247"/>
      <c r="O27" s="247"/>
      <c r="P27" s="247"/>
      <c r="Q27" s="269">
        <f>SUM(Q25:Q26)</f>
        <v>400</v>
      </c>
    </row>
    <row r="28" spans="1:17" x14ac:dyDescent="0.3">
      <c r="A28" s="140" t="s">
        <v>173</v>
      </c>
      <c r="B28" s="284">
        <f>200*2</f>
        <v>400</v>
      </c>
      <c r="C28" t="s">
        <v>178</v>
      </c>
    </row>
    <row r="29" spans="1:17" x14ac:dyDescent="0.3">
      <c r="A29" s="140"/>
      <c r="B29" s="141"/>
      <c r="F29" t="s">
        <v>61</v>
      </c>
      <c r="G29" s="14">
        <v>405</v>
      </c>
      <c r="H29" s="14">
        <v>459.66</v>
      </c>
    </row>
    <row r="30" spans="1:17" ht="15" thickBot="1" x14ac:dyDescent="0.35">
      <c r="A30" s="142"/>
      <c r="B30" s="143"/>
      <c r="F30" t="s">
        <v>64</v>
      </c>
      <c r="G30" s="14">
        <v>2900</v>
      </c>
      <c r="H30" s="14">
        <v>2610</v>
      </c>
    </row>
    <row r="34" spans="1:1" x14ac:dyDescent="0.3">
      <c r="A34" t="s">
        <v>199</v>
      </c>
    </row>
    <row r="35" spans="1:1" x14ac:dyDescent="0.3">
      <c r="A35" t="s">
        <v>198</v>
      </c>
    </row>
    <row r="36" spans="1:1" x14ac:dyDescent="0.3">
      <c r="A36" t="s">
        <v>200</v>
      </c>
    </row>
    <row r="37" spans="1:1" x14ac:dyDescent="0.3">
      <c r="A37" t="s">
        <v>201</v>
      </c>
    </row>
  </sheetData>
  <mergeCells count="3">
    <mergeCell ref="A1:C1"/>
    <mergeCell ref="F1:H1"/>
    <mergeCell ref="B5:C5"/>
  </mergeCells>
  <pageMargins left="0.7" right="0.7" top="0.75" bottom="0.75" header="0.3" footer="0.3"/>
  <pageSetup paperSize="9" orientation="portrait" horizontalDpi="4294967293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A391D-3646-4B89-A727-C9C65AA824B4}">
  <sheetPr>
    <tabColor rgb="FFFFFF00"/>
  </sheetPr>
  <dimension ref="A1:Q38"/>
  <sheetViews>
    <sheetView zoomScale="90" zoomScaleNormal="90" workbookViewId="0">
      <selection activeCell="D30" sqref="D30"/>
    </sheetView>
  </sheetViews>
  <sheetFormatPr defaultColWidth="9.109375" defaultRowHeight="14.4" x14ac:dyDescent="0.3"/>
  <cols>
    <col min="1" max="1" width="51.5546875" bestFit="1" customWidth="1"/>
    <col min="2" max="2" width="14.5546875" customWidth="1"/>
    <col min="3" max="3" width="16.5546875" customWidth="1"/>
    <col min="4" max="4" width="10.109375" bestFit="1" customWidth="1"/>
    <col min="6" max="6" width="21.5546875" bestFit="1" customWidth="1"/>
    <col min="7" max="7" width="15" hidden="1" customWidth="1"/>
    <col min="8" max="8" width="14.44140625" bestFit="1" customWidth="1"/>
    <col min="10" max="10" width="20.6640625" customWidth="1"/>
  </cols>
  <sheetData>
    <row r="1" spans="1:14" ht="15" thickBot="1" x14ac:dyDescent="0.35">
      <c r="A1" s="303" t="s">
        <v>127</v>
      </c>
      <c r="B1" s="304"/>
      <c r="C1" s="304"/>
      <c r="F1" s="305" t="s">
        <v>60</v>
      </c>
      <c r="G1" s="306"/>
      <c r="H1" s="307"/>
      <c r="I1">
        <v>1</v>
      </c>
      <c r="J1" s="103" t="s">
        <v>566</v>
      </c>
    </row>
    <row r="2" spans="1:14" x14ac:dyDescent="0.3">
      <c r="I2">
        <v>2</v>
      </c>
      <c r="J2" s="103" t="s">
        <v>567</v>
      </c>
    </row>
    <row r="3" spans="1:14" ht="15.6" x14ac:dyDescent="0.3">
      <c r="B3" s="13" t="s">
        <v>56</v>
      </c>
      <c r="C3" s="13" t="s">
        <v>57</v>
      </c>
      <c r="G3" s="13" t="s">
        <v>56</v>
      </c>
      <c r="H3" s="13" t="s">
        <v>57</v>
      </c>
      <c r="I3">
        <v>3</v>
      </c>
      <c r="J3" s="103" t="s">
        <v>568</v>
      </c>
      <c r="K3" s="16"/>
    </row>
    <row r="4" spans="1:14" x14ac:dyDescent="0.3">
      <c r="F4" t="s">
        <v>46</v>
      </c>
      <c r="G4" s="8">
        <v>13574.38</v>
      </c>
      <c r="H4" s="9">
        <v>16481.55</v>
      </c>
      <c r="I4">
        <v>4</v>
      </c>
      <c r="J4" s="103" t="s">
        <v>569</v>
      </c>
    </row>
    <row r="5" spans="1:14" x14ac:dyDescent="0.3">
      <c r="A5" s="1" t="s">
        <v>58</v>
      </c>
      <c r="B5" s="308">
        <f>+H4</f>
        <v>16481.55</v>
      </c>
      <c r="C5" s="308"/>
      <c r="F5" t="s">
        <v>55</v>
      </c>
      <c r="G5" s="8">
        <v>2835</v>
      </c>
      <c r="H5" s="8">
        <f>+H29*7</f>
        <v>3217.6200000000003</v>
      </c>
      <c r="I5">
        <v>5</v>
      </c>
      <c r="J5" s="103" t="s">
        <v>570</v>
      </c>
    </row>
    <row r="6" spans="1:14" ht="15.6" x14ac:dyDescent="0.3">
      <c r="A6" s="1" t="s">
        <v>65</v>
      </c>
      <c r="B6" s="4"/>
      <c r="C6" s="26">
        <v>7</v>
      </c>
      <c r="F6" s="10" t="s">
        <v>47</v>
      </c>
      <c r="G6" s="11">
        <f>SUM(G4:G5)</f>
        <v>16409.379999999997</v>
      </c>
      <c r="H6" s="11">
        <f>SUM(H4:H5)</f>
        <v>19699.169999999998</v>
      </c>
      <c r="I6">
        <v>6</v>
      </c>
      <c r="J6" s="103" t="s">
        <v>571</v>
      </c>
      <c r="K6" s="195"/>
      <c r="L6" s="195"/>
      <c r="M6" s="195"/>
    </row>
    <row r="7" spans="1:14" x14ac:dyDescent="0.3">
      <c r="A7" s="1" t="s">
        <v>59</v>
      </c>
      <c r="B7" s="15">
        <f>+$G$29*B6</f>
        <v>0</v>
      </c>
      <c r="C7" s="15">
        <f>+H5</f>
        <v>3217.6200000000003</v>
      </c>
      <c r="I7">
        <v>7</v>
      </c>
      <c r="J7" s="103" t="s">
        <v>572</v>
      </c>
      <c r="K7" s="181"/>
    </row>
    <row r="8" spans="1:14" x14ac:dyDescent="0.3">
      <c r="F8" t="s">
        <v>48</v>
      </c>
      <c r="G8" s="9">
        <v>2900</v>
      </c>
      <c r="H8" s="9">
        <v>2610</v>
      </c>
      <c r="I8">
        <v>8</v>
      </c>
      <c r="J8" s="103" t="s">
        <v>573</v>
      </c>
      <c r="K8" s="188"/>
    </row>
    <row r="9" spans="1:14" x14ac:dyDescent="0.3">
      <c r="A9" s="1" t="s">
        <v>63</v>
      </c>
      <c r="B9" s="4"/>
      <c r="C9" s="4">
        <v>7</v>
      </c>
      <c r="D9" s="24">
        <f>+C6+C9</f>
        <v>14</v>
      </c>
      <c r="F9" t="s">
        <v>54</v>
      </c>
      <c r="G9" s="12">
        <v>405</v>
      </c>
      <c r="H9" s="12">
        <f>+H29</f>
        <v>459.66</v>
      </c>
      <c r="I9">
        <v>9</v>
      </c>
      <c r="J9" s="103" t="s">
        <v>574</v>
      </c>
      <c r="K9" s="182"/>
    </row>
    <row r="10" spans="1:14" ht="15.6" x14ac:dyDescent="0.3">
      <c r="A10" s="1" t="s">
        <v>62</v>
      </c>
      <c r="B10" s="15">
        <f>+$G$30*B9</f>
        <v>0</v>
      </c>
      <c r="C10" s="15">
        <f>+$H$30*C9</f>
        <v>18270</v>
      </c>
      <c r="F10" s="10" t="s">
        <v>49</v>
      </c>
      <c r="G10" s="11">
        <f>+$G$6+G8+G9</f>
        <v>19714.379999999997</v>
      </c>
      <c r="H10" s="11">
        <f>+$H$6+H8+H9</f>
        <v>22768.829999999998</v>
      </c>
      <c r="I10">
        <v>10</v>
      </c>
      <c r="J10" s="103" t="s">
        <v>575</v>
      </c>
      <c r="K10" s="181"/>
    </row>
    <row r="11" spans="1:14" x14ac:dyDescent="0.3">
      <c r="A11" s="1" t="s">
        <v>67</v>
      </c>
      <c r="B11" s="15">
        <f>+$G$29*B9</f>
        <v>0</v>
      </c>
      <c r="C11" s="15">
        <f>+$H$29*C9</f>
        <v>3217.6200000000003</v>
      </c>
      <c r="I11">
        <v>11</v>
      </c>
      <c r="J11" s="229" t="s">
        <v>576</v>
      </c>
      <c r="K11" s="189"/>
      <c r="N11" s="70" t="s">
        <v>169</v>
      </c>
    </row>
    <row r="12" spans="1:14" x14ac:dyDescent="0.3">
      <c r="F12" t="s">
        <v>50</v>
      </c>
      <c r="G12" s="9">
        <v>5800</v>
      </c>
      <c r="H12" s="9">
        <v>5220</v>
      </c>
      <c r="I12">
        <v>12</v>
      </c>
      <c r="J12" s="103" t="s">
        <v>372</v>
      </c>
      <c r="K12" s="197"/>
      <c r="N12" s="70" t="s">
        <v>170</v>
      </c>
    </row>
    <row r="13" spans="1:14" x14ac:dyDescent="0.3">
      <c r="F13" t="s">
        <v>54</v>
      </c>
      <c r="G13" s="12">
        <v>810</v>
      </c>
      <c r="H13" s="12">
        <f>+H29*2</f>
        <v>919.32</v>
      </c>
      <c r="I13">
        <v>13</v>
      </c>
      <c r="J13" s="156" t="s">
        <v>372</v>
      </c>
    </row>
    <row r="14" spans="1:14" ht="15.6" x14ac:dyDescent="0.3">
      <c r="C14" s="14"/>
      <c r="D14" s="18"/>
      <c r="F14" s="10" t="s">
        <v>49</v>
      </c>
      <c r="G14" s="11">
        <f>+$G$6+G12+G13</f>
        <v>23019.379999999997</v>
      </c>
      <c r="H14" s="11">
        <f>+$H$6+H12+H13</f>
        <v>25838.489999999998</v>
      </c>
      <c r="I14">
        <v>14</v>
      </c>
      <c r="J14" s="107" t="s">
        <v>372</v>
      </c>
    </row>
    <row r="15" spans="1:14" x14ac:dyDescent="0.3">
      <c r="A15" s="1" t="s">
        <v>68</v>
      </c>
      <c r="B15" s="15">
        <f>+B10+C10</f>
        <v>18270</v>
      </c>
      <c r="C15" s="14"/>
      <c r="D15" s="14"/>
      <c r="J15" s="153">
        <f>14*150</f>
        <v>2100</v>
      </c>
    </row>
    <row r="16" spans="1:14" x14ac:dyDescent="0.3">
      <c r="A16" s="80" t="s">
        <v>66</v>
      </c>
      <c r="B16" s="82">
        <f>B7+C7+B11+C11</f>
        <v>6435.2400000000007</v>
      </c>
      <c r="C16" s="18"/>
      <c r="D16" s="18"/>
      <c r="F16" t="s">
        <v>51</v>
      </c>
      <c r="G16" s="9">
        <v>8700</v>
      </c>
      <c r="H16" s="9">
        <v>7830</v>
      </c>
      <c r="J16" s="114"/>
    </row>
    <row r="17" spans="1:17" x14ac:dyDescent="0.3">
      <c r="C17" s="20"/>
      <c r="D17" s="18"/>
      <c r="F17" t="s">
        <v>54</v>
      </c>
      <c r="G17" s="12">
        <v>1215</v>
      </c>
      <c r="H17" s="12">
        <f>+H29*3</f>
        <v>1378.98</v>
      </c>
      <c r="J17" s="114" t="s">
        <v>212</v>
      </c>
    </row>
    <row r="18" spans="1:17" ht="15.6" x14ac:dyDescent="0.3">
      <c r="A18" s="1" t="s">
        <v>69</v>
      </c>
      <c r="B18" s="248">
        <v>5600</v>
      </c>
      <c r="C18" t="s">
        <v>178</v>
      </c>
      <c r="F18" s="10" t="s">
        <v>49</v>
      </c>
      <c r="G18" s="11">
        <f>+$G$6+G16+G17</f>
        <v>26324.379999999997</v>
      </c>
      <c r="H18" s="11">
        <f>+$H$6+H16+H17</f>
        <v>28908.149999999998</v>
      </c>
      <c r="J18" s="153" t="s">
        <v>227</v>
      </c>
      <c r="K18" s="226">
        <v>1400</v>
      </c>
    </row>
    <row r="19" spans="1:17" ht="15" thickBot="1" x14ac:dyDescent="0.35">
      <c r="J19" s="102" t="s">
        <v>223</v>
      </c>
      <c r="K19" s="226">
        <v>1400</v>
      </c>
    </row>
    <row r="20" spans="1:17" ht="15" thickBot="1" x14ac:dyDescent="0.35">
      <c r="A20" s="146" t="s">
        <v>163</v>
      </c>
      <c r="B20" s="148">
        <f>D9*150</f>
        <v>2100</v>
      </c>
      <c r="C20" s="17" t="s">
        <v>165</v>
      </c>
      <c r="F20" t="s">
        <v>52</v>
      </c>
      <c r="G20" s="9">
        <v>11600</v>
      </c>
      <c r="H20" s="9">
        <v>10440</v>
      </c>
      <c r="J20" s="102" t="s">
        <v>231</v>
      </c>
      <c r="K20" s="107">
        <v>1400</v>
      </c>
    </row>
    <row r="21" spans="1:17" x14ac:dyDescent="0.3">
      <c r="A21" s="144"/>
      <c r="B21" s="145"/>
      <c r="C21" t="s">
        <v>178</v>
      </c>
      <c r="F21" t="s">
        <v>54</v>
      </c>
      <c r="G21" s="12">
        <v>1620</v>
      </c>
      <c r="H21" s="12">
        <f>+H29*4</f>
        <v>1838.64</v>
      </c>
      <c r="J21" s="102" t="s">
        <v>226</v>
      </c>
      <c r="K21" s="226">
        <v>1400</v>
      </c>
    </row>
    <row r="22" spans="1:17" ht="15.6" x14ac:dyDescent="0.3">
      <c r="A22" s="140"/>
      <c r="B22" s="141"/>
      <c r="F22" s="10" t="s">
        <v>49</v>
      </c>
      <c r="G22" s="11">
        <f>+$G$6+G20+G21</f>
        <v>29629.379999999997</v>
      </c>
      <c r="H22" s="11">
        <f>+$H$6+H20+H21</f>
        <v>31977.809999999998</v>
      </c>
      <c r="J22" s="74"/>
      <c r="K22">
        <f>SUM(K18:K21)</f>
        <v>5600</v>
      </c>
    </row>
    <row r="23" spans="1:17" x14ac:dyDescent="0.3">
      <c r="A23" s="140"/>
      <c r="B23" s="141"/>
      <c r="C23" s="14"/>
      <c r="D23" s="14"/>
      <c r="J23" s="198"/>
    </row>
    <row r="24" spans="1:17" ht="15" thickBot="1" x14ac:dyDescent="0.35">
      <c r="A24" s="142"/>
      <c r="B24" s="143"/>
      <c r="C24" s="88"/>
      <c r="F24" t="s">
        <v>53</v>
      </c>
      <c r="G24" s="9">
        <v>14500</v>
      </c>
      <c r="H24" s="9">
        <v>13050</v>
      </c>
      <c r="J24" s="276" t="s">
        <v>265</v>
      </c>
      <c r="K24" s="247"/>
      <c r="L24" s="247"/>
      <c r="M24" s="247"/>
      <c r="N24" s="247"/>
      <c r="O24" s="247"/>
      <c r="P24" s="247"/>
      <c r="Q24" s="247"/>
    </row>
    <row r="25" spans="1:17" ht="15" thickBot="1" x14ac:dyDescent="0.35">
      <c r="C25" s="90"/>
      <c r="F25" t="s">
        <v>54</v>
      </c>
      <c r="G25" s="12">
        <v>2025</v>
      </c>
      <c r="H25" s="12">
        <f>+H29*5</f>
        <v>2298.3000000000002</v>
      </c>
      <c r="J25" s="261" t="s">
        <v>259</v>
      </c>
      <c r="K25" s="261">
        <v>41</v>
      </c>
      <c r="L25" s="261" t="s">
        <v>257</v>
      </c>
      <c r="M25" s="261">
        <v>40.28</v>
      </c>
      <c r="N25" s="262" t="s">
        <v>319</v>
      </c>
      <c r="O25" s="261" t="s">
        <v>320</v>
      </c>
      <c r="P25" s="261" t="s">
        <v>261</v>
      </c>
      <c r="Q25" s="24">
        <v>200</v>
      </c>
    </row>
    <row r="26" spans="1:17" ht="16.2" thickBot="1" x14ac:dyDescent="0.35">
      <c r="A26" s="146" t="s">
        <v>164</v>
      </c>
      <c r="B26" s="147">
        <f>SUM(B27:B30)</f>
        <v>200</v>
      </c>
      <c r="C26" s="17" t="s">
        <v>165</v>
      </c>
      <c r="F26" s="10" t="s">
        <v>49</v>
      </c>
      <c r="G26" s="11">
        <f>+$G$6+G24+G25</f>
        <v>32934.379999999997</v>
      </c>
      <c r="H26" s="11">
        <f>+$H$6+H24+H25</f>
        <v>35047.47</v>
      </c>
      <c r="J26" s="190"/>
    </row>
    <row r="27" spans="1:17" x14ac:dyDescent="0.3">
      <c r="A27" s="144" t="s">
        <v>168</v>
      </c>
      <c r="B27" s="145"/>
    </row>
    <row r="28" spans="1:17" x14ac:dyDescent="0.3">
      <c r="A28" s="140" t="s">
        <v>173</v>
      </c>
      <c r="B28" s="284">
        <v>200</v>
      </c>
      <c r="C28" t="s">
        <v>178</v>
      </c>
    </row>
    <row r="29" spans="1:17" x14ac:dyDescent="0.3">
      <c r="A29" s="140"/>
      <c r="B29" s="141"/>
      <c r="F29" t="s">
        <v>61</v>
      </c>
      <c r="G29" s="14">
        <v>405</v>
      </c>
      <c r="H29" s="14">
        <v>459.66</v>
      </c>
    </row>
    <row r="30" spans="1:17" ht="15" thickBot="1" x14ac:dyDescent="0.35">
      <c r="A30" s="142"/>
      <c r="B30" s="143"/>
      <c r="F30" t="s">
        <v>64</v>
      </c>
      <c r="G30" s="14">
        <v>2900</v>
      </c>
      <c r="H30" s="14">
        <v>2610</v>
      </c>
    </row>
    <row r="31" spans="1:17" x14ac:dyDescent="0.3">
      <c r="A31" s="53"/>
    </row>
    <row r="32" spans="1:17" x14ac:dyDescent="0.3">
      <c r="A32" s="72"/>
    </row>
    <row r="33" spans="1:1" x14ac:dyDescent="0.3">
      <c r="A33" s="53"/>
    </row>
    <row r="35" spans="1:1" x14ac:dyDescent="0.3">
      <c r="A35" s="17"/>
    </row>
    <row r="36" spans="1:1" x14ac:dyDescent="0.3">
      <c r="A36" s="247"/>
    </row>
    <row r="38" spans="1:1" x14ac:dyDescent="0.3">
      <c r="A38" s="43"/>
    </row>
  </sheetData>
  <mergeCells count="3">
    <mergeCell ref="A1:C1"/>
    <mergeCell ref="F1:H1"/>
    <mergeCell ref="B5:C5"/>
  </mergeCells>
  <pageMargins left="0.7" right="0.7" top="0.75" bottom="0.75" header="0.3" footer="0.3"/>
  <pageSetup paperSize="9" orientation="portrait" horizontalDpi="4294967293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0E34B-5ADB-457C-B27B-BDA3C74B2A87}">
  <sheetPr>
    <tabColor rgb="FFFFFF00"/>
  </sheetPr>
  <dimension ref="A1:N41"/>
  <sheetViews>
    <sheetView zoomScale="90" zoomScaleNormal="90" workbookViewId="0">
      <selection activeCell="K29" sqref="K29"/>
    </sheetView>
  </sheetViews>
  <sheetFormatPr defaultColWidth="9.109375" defaultRowHeight="14.4" x14ac:dyDescent="0.3"/>
  <cols>
    <col min="1" max="1" width="41.109375" customWidth="1"/>
    <col min="2" max="2" width="14.5546875" customWidth="1"/>
    <col min="3" max="3" width="16.5546875" customWidth="1"/>
    <col min="4" max="4" width="10.109375" bestFit="1" customWidth="1"/>
    <col min="5" max="5" width="22.44140625" customWidth="1"/>
    <col min="6" max="6" width="21.5546875" bestFit="1" customWidth="1"/>
    <col min="7" max="7" width="15" hidden="1" customWidth="1"/>
    <col min="8" max="8" width="14.44140625" bestFit="1" customWidth="1"/>
    <col min="10" max="10" width="26.33203125" customWidth="1"/>
    <col min="11" max="11" width="14.88671875" bestFit="1" customWidth="1"/>
  </cols>
  <sheetData>
    <row r="1" spans="1:14" ht="15" thickBot="1" x14ac:dyDescent="0.35">
      <c r="A1" s="303" t="s">
        <v>129</v>
      </c>
      <c r="B1" s="304"/>
      <c r="C1" s="304"/>
      <c r="F1" s="305" t="s">
        <v>60</v>
      </c>
      <c r="G1" s="306"/>
      <c r="H1" s="307"/>
      <c r="I1">
        <v>1</v>
      </c>
      <c r="J1" s="133" t="s">
        <v>577</v>
      </c>
    </row>
    <row r="2" spans="1:14" x14ac:dyDescent="0.3">
      <c r="I2">
        <v>2</v>
      </c>
      <c r="J2" s="97" t="s">
        <v>578</v>
      </c>
    </row>
    <row r="3" spans="1:14" ht="15.6" x14ac:dyDescent="0.3">
      <c r="B3" s="13" t="s">
        <v>56</v>
      </c>
      <c r="C3" s="13" t="s">
        <v>57</v>
      </c>
      <c r="G3" s="13" t="s">
        <v>56</v>
      </c>
      <c r="H3" s="13" t="s">
        <v>57</v>
      </c>
      <c r="I3">
        <v>3</v>
      </c>
      <c r="J3" s="133" t="s">
        <v>579</v>
      </c>
      <c r="K3" s="16"/>
    </row>
    <row r="4" spans="1:14" x14ac:dyDescent="0.3">
      <c r="F4" t="s">
        <v>46</v>
      </c>
      <c r="G4" s="8">
        <v>13574.38</v>
      </c>
      <c r="H4" s="9">
        <v>16481.580000000002</v>
      </c>
      <c r="I4">
        <v>4</v>
      </c>
      <c r="J4" s="133" t="s">
        <v>580</v>
      </c>
    </row>
    <row r="5" spans="1:14" x14ac:dyDescent="0.3">
      <c r="A5" s="1" t="s">
        <v>58</v>
      </c>
      <c r="B5" s="308">
        <f>+H4</f>
        <v>16481.580000000002</v>
      </c>
      <c r="C5" s="308"/>
      <c r="F5" t="s">
        <v>55</v>
      </c>
      <c r="G5" s="8">
        <v>2835</v>
      </c>
      <c r="H5" s="8">
        <f>+H29*7</f>
        <v>3217.6200000000003</v>
      </c>
      <c r="I5">
        <v>5</v>
      </c>
      <c r="J5" s="133" t="s">
        <v>581</v>
      </c>
    </row>
    <row r="6" spans="1:14" ht="15.6" x14ac:dyDescent="0.3">
      <c r="A6" s="1" t="s">
        <v>65</v>
      </c>
      <c r="B6" s="4">
        <v>0</v>
      </c>
      <c r="C6" s="26">
        <v>7</v>
      </c>
      <c r="F6" s="10" t="s">
        <v>47</v>
      </c>
      <c r="G6" s="11">
        <f>SUM(G4:G5)</f>
        <v>16409.379999999997</v>
      </c>
      <c r="H6" s="11">
        <f>SUM(H4:H5)</f>
        <v>19699.2</v>
      </c>
      <c r="I6">
        <v>6</v>
      </c>
      <c r="J6" s="133" t="s">
        <v>582</v>
      </c>
    </row>
    <row r="7" spans="1:14" x14ac:dyDescent="0.3">
      <c r="A7" s="1" t="s">
        <v>59</v>
      </c>
      <c r="B7" s="15">
        <f>+$G$29*B6</f>
        <v>0</v>
      </c>
      <c r="C7" s="15">
        <f>+H5</f>
        <v>3217.6200000000003</v>
      </c>
      <c r="I7">
        <v>7</v>
      </c>
      <c r="J7" s="133" t="s">
        <v>583</v>
      </c>
      <c r="K7" s="205"/>
      <c r="L7" s="205"/>
      <c r="M7" s="154"/>
    </row>
    <row r="8" spans="1:14" x14ac:dyDescent="0.3">
      <c r="F8" t="s">
        <v>48</v>
      </c>
      <c r="G8" s="9">
        <v>2900</v>
      </c>
      <c r="H8" s="9">
        <v>2610</v>
      </c>
      <c r="I8">
        <v>8</v>
      </c>
      <c r="J8" s="57" t="s">
        <v>584</v>
      </c>
      <c r="K8" s="188"/>
    </row>
    <row r="9" spans="1:14" x14ac:dyDescent="0.3">
      <c r="A9" s="1" t="s">
        <v>63</v>
      </c>
      <c r="B9" s="4">
        <v>0</v>
      </c>
      <c r="C9" s="4">
        <v>7</v>
      </c>
      <c r="D9" s="24">
        <f>+C6+C9</f>
        <v>14</v>
      </c>
      <c r="F9" t="s">
        <v>54</v>
      </c>
      <c r="G9" s="12">
        <v>405</v>
      </c>
      <c r="H9" s="12">
        <f>+H29</f>
        <v>459.66</v>
      </c>
      <c r="I9">
        <v>9</v>
      </c>
      <c r="J9" s="100" t="s">
        <v>585</v>
      </c>
      <c r="K9" s="182"/>
      <c r="N9" s="70" t="s">
        <v>169</v>
      </c>
    </row>
    <row r="10" spans="1:14" ht="15.6" x14ac:dyDescent="0.3">
      <c r="A10" s="1" t="s">
        <v>62</v>
      </c>
      <c r="B10" s="15">
        <f>+$G$30*B9</f>
        <v>0</v>
      </c>
      <c r="C10" s="15">
        <f>+$H$30*C9</f>
        <v>18270</v>
      </c>
      <c r="F10" s="10" t="s">
        <v>49</v>
      </c>
      <c r="G10" s="11">
        <f>+$G$6+G8+G9</f>
        <v>19714.379999999997</v>
      </c>
      <c r="H10" s="11">
        <f>+$H$6+H8+H9</f>
        <v>22768.86</v>
      </c>
      <c r="I10">
        <v>10</v>
      </c>
      <c r="J10" s="76" t="s">
        <v>586</v>
      </c>
      <c r="K10" s="182"/>
      <c r="N10" s="70" t="s">
        <v>170</v>
      </c>
    </row>
    <row r="11" spans="1:14" x14ac:dyDescent="0.3">
      <c r="A11" s="1" t="s">
        <v>67</v>
      </c>
      <c r="B11" s="15">
        <f>+$G$29*B9</f>
        <v>0</v>
      </c>
      <c r="C11" s="15">
        <f>+$H$29*C9</f>
        <v>3217.6200000000003</v>
      </c>
      <c r="I11">
        <v>11</v>
      </c>
      <c r="J11" s="100" t="s">
        <v>587</v>
      </c>
      <c r="K11" s="180"/>
    </row>
    <row r="12" spans="1:14" x14ac:dyDescent="0.3">
      <c r="F12" t="s">
        <v>50</v>
      </c>
      <c r="G12" s="9">
        <v>5800</v>
      </c>
      <c r="H12" s="9">
        <v>5220</v>
      </c>
      <c r="I12">
        <v>12</v>
      </c>
      <c r="J12" s="133" t="s">
        <v>588</v>
      </c>
      <c r="K12" s="189"/>
    </row>
    <row r="13" spans="1:14" x14ac:dyDescent="0.3">
      <c r="F13" t="s">
        <v>54</v>
      </c>
      <c r="G13" s="12">
        <v>810</v>
      </c>
      <c r="H13" s="12">
        <f>+H29*2</f>
        <v>919.32</v>
      </c>
      <c r="I13">
        <v>13</v>
      </c>
      <c r="J13" s="57" t="s">
        <v>589</v>
      </c>
      <c r="K13" s="184"/>
    </row>
    <row r="14" spans="1:14" ht="15.6" x14ac:dyDescent="0.3">
      <c r="F14" s="10" t="s">
        <v>49</v>
      </c>
      <c r="G14" s="11">
        <f>+$G$6+G12+G13</f>
        <v>23019.379999999997</v>
      </c>
      <c r="H14" s="11">
        <f>+$H$6+H12+H13</f>
        <v>25838.52</v>
      </c>
      <c r="I14">
        <v>14</v>
      </c>
      <c r="J14" s="65" t="s">
        <v>337</v>
      </c>
    </row>
    <row r="15" spans="1:14" x14ac:dyDescent="0.3">
      <c r="A15" s="1" t="s">
        <v>68</v>
      </c>
      <c r="B15" s="15">
        <f>+B10+C10</f>
        <v>18270</v>
      </c>
      <c r="J15" s="185">
        <f>14*150</f>
        <v>2100</v>
      </c>
    </row>
    <row r="16" spans="1:14" x14ac:dyDescent="0.3">
      <c r="A16" s="80" t="s">
        <v>66</v>
      </c>
      <c r="B16" s="81">
        <f>C11+B11+B7+C7</f>
        <v>6435.2400000000007</v>
      </c>
      <c r="C16" s="18"/>
      <c r="D16" s="20"/>
      <c r="F16" t="s">
        <v>51</v>
      </c>
      <c r="G16" s="9">
        <v>8700</v>
      </c>
      <c r="H16" s="9">
        <v>7830</v>
      </c>
      <c r="J16" s="194"/>
      <c r="K16" s="18"/>
    </row>
    <row r="17" spans="1:11" x14ac:dyDescent="0.3">
      <c r="C17" s="18"/>
      <c r="D17" s="18"/>
      <c r="F17" t="s">
        <v>54</v>
      </c>
      <c r="G17" s="12">
        <v>1215</v>
      </c>
      <c r="H17" s="12">
        <f>+H29*3</f>
        <v>1378.98</v>
      </c>
      <c r="J17" s="192"/>
    </row>
    <row r="18" spans="1:11" ht="15.6" x14ac:dyDescent="0.3">
      <c r="A18" s="1" t="s">
        <v>69</v>
      </c>
      <c r="B18" s="248">
        <v>5600</v>
      </c>
      <c r="C18" t="s">
        <v>178</v>
      </c>
      <c r="F18" s="10" t="s">
        <v>49</v>
      </c>
      <c r="G18" s="11">
        <f>+$G$6+G16+G17</f>
        <v>26324.379999999997</v>
      </c>
      <c r="H18" s="11">
        <f>+$H$6+H16+H17</f>
        <v>28908.18</v>
      </c>
      <c r="J18" s="185" t="s">
        <v>212</v>
      </c>
    </row>
    <row r="19" spans="1:11" ht="15" thickBot="1" x14ac:dyDescent="0.35">
      <c r="J19" s="153" t="s">
        <v>222</v>
      </c>
      <c r="K19" s="226">
        <v>1400</v>
      </c>
    </row>
    <row r="20" spans="1:11" ht="15" thickBot="1" x14ac:dyDescent="0.35">
      <c r="A20" s="146" t="s">
        <v>163</v>
      </c>
      <c r="B20" s="148">
        <f>D9*150</f>
        <v>2100</v>
      </c>
      <c r="C20" s="17" t="s">
        <v>165</v>
      </c>
      <c r="F20" t="s">
        <v>52</v>
      </c>
      <c r="G20" s="9">
        <v>11600</v>
      </c>
      <c r="H20" s="9">
        <v>10440</v>
      </c>
      <c r="J20" s="102" t="s">
        <v>232</v>
      </c>
      <c r="K20" s="226">
        <v>1400</v>
      </c>
    </row>
    <row r="21" spans="1:11" x14ac:dyDescent="0.3">
      <c r="A21" s="144"/>
      <c r="B21" s="145"/>
      <c r="C21" t="s">
        <v>178</v>
      </c>
      <c r="F21" t="s">
        <v>54</v>
      </c>
      <c r="G21" s="12">
        <v>1620</v>
      </c>
      <c r="H21" s="12">
        <f>+H29*4</f>
        <v>1838.64</v>
      </c>
      <c r="J21" s="102" t="s">
        <v>231</v>
      </c>
      <c r="K21" s="107">
        <v>1400</v>
      </c>
    </row>
    <row r="22" spans="1:11" ht="15.6" x14ac:dyDescent="0.3">
      <c r="A22" s="140"/>
      <c r="B22" s="141"/>
      <c r="F22" s="10" t="s">
        <v>49</v>
      </c>
      <c r="G22" s="11">
        <f>+$G$6+G20+G21</f>
        <v>29629.379999999997</v>
      </c>
      <c r="H22" s="11">
        <f>+$H$6+H20+H21</f>
        <v>31977.84</v>
      </c>
      <c r="J22" s="102" t="s">
        <v>226</v>
      </c>
      <c r="K22" s="226">
        <v>1400</v>
      </c>
    </row>
    <row r="23" spans="1:11" x14ac:dyDescent="0.3">
      <c r="A23" s="140"/>
      <c r="B23" s="141"/>
      <c r="C23" s="14"/>
      <c r="J23" s="153"/>
      <c r="K23" s="226"/>
    </row>
    <row r="24" spans="1:11" ht="15" thickBot="1" x14ac:dyDescent="0.35">
      <c r="A24" s="142"/>
      <c r="B24" s="143"/>
      <c r="C24" s="88"/>
      <c r="F24" t="s">
        <v>53</v>
      </c>
      <c r="G24" s="9">
        <v>14500</v>
      </c>
      <c r="H24" s="9">
        <v>13050</v>
      </c>
      <c r="K24">
        <f>SUM(K19:K23)</f>
        <v>5600</v>
      </c>
    </row>
    <row r="25" spans="1:11" ht="15" thickBot="1" x14ac:dyDescent="0.35">
      <c r="C25" s="90"/>
      <c r="F25" t="s">
        <v>54</v>
      </c>
      <c r="G25" s="12">
        <v>2025</v>
      </c>
      <c r="H25" s="12">
        <f>+H29*5</f>
        <v>2298.3000000000002</v>
      </c>
    </row>
    <row r="26" spans="1:11" ht="16.2" thickBot="1" x14ac:dyDescent="0.35">
      <c r="A26" s="146" t="s">
        <v>164</v>
      </c>
      <c r="B26" s="147">
        <f>SUM(B27:B30)</f>
        <v>0</v>
      </c>
      <c r="C26" s="17" t="s">
        <v>165</v>
      </c>
      <c r="F26" s="10" t="s">
        <v>49</v>
      </c>
      <c r="G26" s="11">
        <f>+$G$6+G24+G25</f>
        <v>32934.379999999997</v>
      </c>
      <c r="H26" s="11">
        <f>+$H$6+H24+H25</f>
        <v>35047.5</v>
      </c>
    </row>
    <row r="27" spans="1:11" x14ac:dyDescent="0.3">
      <c r="A27" s="144"/>
      <c r="B27" s="145"/>
    </row>
    <row r="28" spans="1:11" x14ac:dyDescent="0.3">
      <c r="A28" s="140"/>
      <c r="B28" s="141"/>
    </row>
    <row r="29" spans="1:11" x14ac:dyDescent="0.3">
      <c r="A29" s="140"/>
      <c r="B29" s="141"/>
      <c r="F29" t="s">
        <v>61</v>
      </c>
      <c r="G29" s="14">
        <v>405</v>
      </c>
      <c r="H29" s="14">
        <v>459.66</v>
      </c>
    </row>
    <row r="30" spans="1:11" ht="15" thickBot="1" x14ac:dyDescent="0.35">
      <c r="A30" s="142"/>
      <c r="B30" s="143"/>
      <c r="F30" t="s">
        <v>64</v>
      </c>
      <c r="G30" s="14">
        <v>2900</v>
      </c>
      <c r="H30" s="14">
        <v>2610</v>
      </c>
    </row>
    <row r="31" spans="1:11" x14ac:dyDescent="0.3">
      <c r="A31" s="16"/>
    </row>
    <row r="32" spans="1:11" x14ac:dyDescent="0.3">
      <c r="A32" s="53"/>
      <c r="B32" s="53"/>
      <c r="C32" s="53"/>
    </row>
    <row r="33" spans="1:13" x14ac:dyDescent="0.3">
      <c r="A33" s="53"/>
      <c r="B33" s="53"/>
      <c r="C33" s="53"/>
    </row>
    <row r="41" spans="1:13" x14ac:dyDescent="0.3">
      <c r="B41" s="43"/>
      <c r="L41" s="43"/>
      <c r="M41" s="43"/>
    </row>
  </sheetData>
  <mergeCells count="3">
    <mergeCell ref="A1:C1"/>
    <mergeCell ref="F1:H1"/>
    <mergeCell ref="B5:C5"/>
  </mergeCells>
  <phoneticPr fontId="19" type="noConversion"/>
  <pageMargins left="0.7" right="0.7" top="0.75" bottom="0.75" header="0.3" footer="0.3"/>
  <pageSetup paperSize="9" orientation="portrait" horizontalDpi="4294967293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D21E8-4783-4137-83E8-AE20F9F8BBD6}">
  <sheetPr>
    <tabColor rgb="FFFFFF00"/>
  </sheetPr>
  <dimension ref="A1:Q30"/>
  <sheetViews>
    <sheetView zoomScale="90" zoomScaleNormal="90" workbookViewId="0">
      <selection activeCell="B27" sqref="B27"/>
    </sheetView>
  </sheetViews>
  <sheetFormatPr defaultColWidth="9.109375" defaultRowHeight="14.4" x14ac:dyDescent="0.3"/>
  <cols>
    <col min="1" max="1" width="51.5546875" bestFit="1" customWidth="1"/>
    <col min="2" max="2" width="14.5546875" customWidth="1"/>
    <col min="3" max="3" width="16.5546875" customWidth="1"/>
    <col min="6" max="6" width="21.5546875" bestFit="1" customWidth="1"/>
    <col min="7" max="7" width="15" hidden="1" customWidth="1"/>
    <col min="8" max="8" width="14.44140625" bestFit="1" customWidth="1"/>
    <col min="10" max="10" width="24.6640625" customWidth="1"/>
    <col min="11" max="11" width="11.109375" customWidth="1"/>
  </cols>
  <sheetData>
    <row r="1" spans="1:14" ht="15" thickBot="1" x14ac:dyDescent="0.35">
      <c r="A1" s="303" t="s">
        <v>102</v>
      </c>
      <c r="B1" s="304"/>
      <c r="C1" s="304"/>
      <c r="F1" s="305" t="s">
        <v>60</v>
      </c>
      <c r="G1" s="306"/>
      <c r="H1" s="307"/>
      <c r="I1">
        <v>1</v>
      </c>
      <c r="J1" s="100" t="s">
        <v>590</v>
      </c>
    </row>
    <row r="2" spans="1:14" x14ac:dyDescent="0.3">
      <c r="I2">
        <v>2</v>
      </c>
      <c r="J2" s="57" t="s">
        <v>591</v>
      </c>
    </row>
    <row r="3" spans="1:14" ht="15.6" x14ac:dyDescent="0.3">
      <c r="B3" s="13" t="s">
        <v>56</v>
      </c>
      <c r="C3" s="13" t="s">
        <v>57</v>
      </c>
      <c r="G3" s="13" t="s">
        <v>56</v>
      </c>
      <c r="H3" s="13" t="s">
        <v>57</v>
      </c>
      <c r="I3">
        <v>3</v>
      </c>
      <c r="J3" s="76" t="s">
        <v>592</v>
      </c>
      <c r="K3" s="16"/>
    </row>
    <row r="4" spans="1:14" x14ac:dyDescent="0.3">
      <c r="F4" t="s">
        <v>46</v>
      </c>
      <c r="G4" s="8">
        <v>13574.38</v>
      </c>
      <c r="H4" s="9">
        <v>16481.55</v>
      </c>
      <c r="I4">
        <v>4</v>
      </c>
      <c r="J4" s="76" t="s">
        <v>593</v>
      </c>
    </row>
    <row r="5" spans="1:14" x14ac:dyDescent="0.3">
      <c r="A5" s="1" t="s">
        <v>58</v>
      </c>
      <c r="B5" s="308">
        <f>+H4</f>
        <v>16481.55</v>
      </c>
      <c r="C5" s="308"/>
      <c r="F5" t="s">
        <v>55</v>
      </c>
      <c r="G5" s="8">
        <v>2835</v>
      </c>
      <c r="H5" s="8">
        <f>+H29*7</f>
        <v>3217.6200000000003</v>
      </c>
      <c r="I5">
        <v>5</v>
      </c>
      <c r="J5" s="76" t="s">
        <v>594</v>
      </c>
      <c r="K5" s="205"/>
      <c r="L5" s="205"/>
      <c r="M5" s="179"/>
    </row>
    <row r="6" spans="1:14" ht="15.6" x14ac:dyDescent="0.3">
      <c r="A6" s="1" t="s">
        <v>65</v>
      </c>
      <c r="B6" s="4">
        <v>0</v>
      </c>
      <c r="C6" s="26">
        <v>7</v>
      </c>
      <c r="F6" s="10" t="s">
        <v>47</v>
      </c>
      <c r="G6" s="11">
        <f>SUM(G4:G5)</f>
        <v>16409.379999999997</v>
      </c>
      <c r="H6" s="11">
        <f>SUM(H4:H5)</f>
        <v>19699.169999999998</v>
      </c>
      <c r="I6">
        <v>6</v>
      </c>
      <c r="J6" s="76" t="s">
        <v>595</v>
      </c>
      <c r="K6" s="181"/>
    </row>
    <row r="7" spans="1:14" x14ac:dyDescent="0.3">
      <c r="A7" s="1" t="s">
        <v>59</v>
      </c>
      <c r="B7" s="15">
        <f>+$G$29*B6</f>
        <v>0</v>
      </c>
      <c r="C7" s="15">
        <f>+H5</f>
        <v>3217.6200000000003</v>
      </c>
      <c r="I7">
        <v>7</v>
      </c>
      <c r="J7" s="76" t="s">
        <v>596</v>
      </c>
      <c r="K7" s="182"/>
    </row>
    <row r="8" spans="1:14" x14ac:dyDescent="0.3">
      <c r="F8" t="s">
        <v>48</v>
      </c>
      <c r="G8" s="9">
        <v>2900</v>
      </c>
      <c r="H8" s="9">
        <v>2610</v>
      </c>
      <c r="I8">
        <v>8</v>
      </c>
      <c r="J8" s="100" t="s">
        <v>597</v>
      </c>
      <c r="K8" s="182"/>
    </row>
    <row r="9" spans="1:14" x14ac:dyDescent="0.3">
      <c r="A9" s="1" t="s">
        <v>63</v>
      </c>
      <c r="B9" s="4">
        <v>0</v>
      </c>
      <c r="C9" s="4">
        <v>6</v>
      </c>
      <c r="D9" s="24">
        <f>+C6+C9</f>
        <v>13</v>
      </c>
      <c r="F9" t="s">
        <v>54</v>
      </c>
      <c r="G9" s="12">
        <v>405</v>
      </c>
      <c r="H9" s="12">
        <f>+H29</f>
        <v>459.66</v>
      </c>
      <c r="I9">
        <v>9</v>
      </c>
      <c r="J9" s="133" t="s">
        <v>598</v>
      </c>
      <c r="K9" s="180"/>
      <c r="N9" s="70" t="s">
        <v>169</v>
      </c>
    </row>
    <row r="10" spans="1:14" ht="15.6" x14ac:dyDescent="0.3">
      <c r="A10" s="1" t="s">
        <v>62</v>
      </c>
      <c r="B10" s="15">
        <f>+$G$30*B9</f>
        <v>0</v>
      </c>
      <c r="C10" s="15">
        <f>+$H$30*C9</f>
        <v>15660</v>
      </c>
      <c r="F10" s="10" t="s">
        <v>49</v>
      </c>
      <c r="G10" s="11">
        <f>+$G$6+G8+G9</f>
        <v>19714.379999999997</v>
      </c>
      <c r="H10" s="11">
        <f>+$H$6+H8+H9</f>
        <v>22768.829999999998</v>
      </c>
      <c r="I10">
        <v>10</v>
      </c>
      <c r="J10" s="100" t="s">
        <v>599</v>
      </c>
      <c r="K10" s="189"/>
      <c r="N10" s="70" t="s">
        <v>170</v>
      </c>
    </row>
    <row r="11" spans="1:14" x14ac:dyDescent="0.3">
      <c r="A11" s="1" t="s">
        <v>67</v>
      </c>
      <c r="B11" s="15">
        <f>+$G$29*B9</f>
        <v>0</v>
      </c>
      <c r="C11" s="15">
        <f>+$H$29*C9</f>
        <v>2757.96</v>
      </c>
      <c r="I11">
        <v>11</v>
      </c>
      <c r="J11" s="76" t="s">
        <v>600</v>
      </c>
      <c r="K11" s="184"/>
    </row>
    <row r="12" spans="1:14" x14ac:dyDescent="0.3">
      <c r="F12" t="s">
        <v>50</v>
      </c>
      <c r="G12" s="9">
        <v>5800</v>
      </c>
      <c r="H12" s="9">
        <v>5220</v>
      </c>
      <c r="I12">
        <v>12</v>
      </c>
      <c r="J12" s="133" t="s">
        <v>337</v>
      </c>
    </row>
    <row r="13" spans="1:14" x14ac:dyDescent="0.3">
      <c r="A13" s="42"/>
      <c r="B13" s="42"/>
      <c r="F13" t="s">
        <v>54</v>
      </c>
      <c r="G13" s="12">
        <v>810</v>
      </c>
      <c r="H13" s="12">
        <f>+H29*2</f>
        <v>919.32</v>
      </c>
      <c r="I13">
        <v>13</v>
      </c>
      <c r="J13" s="76" t="s">
        <v>337</v>
      </c>
    </row>
    <row r="14" spans="1:14" ht="15.6" x14ac:dyDescent="0.3">
      <c r="F14" s="10" t="s">
        <v>49</v>
      </c>
      <c r="G14" s="11">
        <f>+$G$6+G12+G13</f>
        <v>23019.379999999997</v>
      </c>
      <c r="H14" s="11">
        <f>+$H$6+H12+H13</f>
        <v>25838.489999999998</v>
      </c>
      <c r="J14" s="192">
        <f>13*150</f>
        <v>1950</v>
      </c>
    </row>
    <row r="15" spans="1:14" x14ac:dyDescent="0.3">
      <c r="A15" s="1" t="s">
        <v>68</v>
      </c>
      <c r="B15" s="15">
        <f>+B10+C10</f>
        <v>15660</v>
      </c>
      <c r="C15" s="14"/>
      <c r="J15" s="185"/>
    </row>
    <row r="16" spans="1:14" x14ac:dyDescent="0.3">
      <c r="A16" s="80" t="s">
        <v>66</v>
      </c>
      <c r="B16" s="81">
        <f>B7+C7+B11+C11</f>
        <v>5975.58</v>
      </c>
      <c r="C16" s="18"/>
      <c r="D16" s="18"/>
      <c r="F16" t="s">
        <v>51</v>
      </c>
      <c r="G16" s="9">
        <v>8700</v>
      </c>
      <c r="H16" s="9">
        <v>7830</v>
      </c>
      <c r="J16" s="185"/>
    </row>
    <row r="17" spans="1:17" x14ac:dyDescent="0.3">
      <c r="F17" t="s">
        <v>54</v>
      </c>
      <c r="G17" s="12">
        <v>1215</v>
      </c>
      <c r="H17" s="12">
        <f>+H29*3</f>
        <v>1378.98</v>
      </c>
      <c r="J17" s="185" t="s">
        <v>212</v>
      </c>
    </row>
    <row r="18" spans="1:17" ht="15.6" x14ac:dyDescent="0.3">
      <c r="A18" s="1" t="s">
        <v>69</v>
      </c>
      <c r="B18" s="248">
        <v>5600</v>
      </c>
      <c r="C18" s="14" t="s">
        <v>178</v>
      </c>
      <c r="F18" s="10" t="s">
        <v>49</v>
      </c>
      <c r="G18" s="11">
        <f>+$G$6+G16+G17</f>
        <v>26324.379999999997</v>
      </c>
      <c r="H18" s="11">
        <f>+$H$6+H16+H17</f>
        <v>28908.149999999998</v>
      </c>
      <c r="J18" s="153" t="s">
        <v>225</v>
      </c>
      <c r="K18" s="226">
        <v>1400</v>
      </c>
    </row>
    <row r="19" spans="1:17" ht="15" thickBot="1" x14ac:dyDescent="0.35">
      <c r="J19" s="102" t="s">
        <v>232</v>
      </c>
      <c r="K19" s="226">
        <v>1400</v>
      </c>
    </row>
    <row r="20" spans="1:17" ht="15" thickBot="1" x14ac:dyDescent="0.35">
      <c r="A20" s="146" t="s">
        <v>163</v>
      </c>
      <c r="B20" s="148">
        <f>D9*150</f>
        <v>1950</v>
      </c>
      <c r="C20" s="17" t="s">
        <v>165</v>
      </c>
      <c r="F20" t="s">
        <v>52</v>
      </c>
      <c r="G20" s="9">
        <v>11600</v>
      </c>
      <c r="H20" s="9">
        <v>10440</v>
      </c>
      <c r="J20" s="102" t="s">
        <v>231</v>
      </c>
      <c r="K20" s="107">
        <v>1400</v>
      </c>
    </row>
    <row r="21" spans="1:17" x14ac:dyDescent="0.3">
      <c r="A21" s="144"/>
      <c r="B21" s="145"/>
      <c r="C21" t="s">
        <v>529</v>
      </c>
      <c r="F21" t="s">
        <v>54</v>
      </c>
      <c r="G21" s="12">
        <v>1620</v>
      </c>
      <c r="H21" s="12">
        <f>+H29*4</f>
        <v>1838.64</v>
      </c>
      <c r="J21" s="102" t="s">
        <v>226</v>
      </c>
      <c r="K21" s="226">
        <v>1400</v>
      </c>
    </row>
    <row r="22" spans="1:17" ht="15.6" x14ac:dyDescent="0.3">
      <c r="A22" s="140"/>
      <c r="B22" s="141"/>
      <c r="F22" s="10" t="s">
        <v>49</v>
      </c>
      <c r="G22" s="11">
        <f>+$G$6+G20+G21</f>
        <v>29629.379999999997</v>
      </c>
      <c r="H22" s="11">
        <f>+$H$6+H20+H21</f>
        <v>31977.809999999998</v>
      </c>
      <c r="J22" s="171"/>
      <c r="K22">
        <f>SUM(K18:K21)</f>
        <v>5600</v>
      </c>
    </row>
    <row r="23" spans="1:17" x14ac:dyDescent="0.3">
      <c r="A23" s="140"/>
      <c r="B23" s="141"/>
      <c r="C23" s="14"/>
    </row>
    <row r="24" spans="1:17" ht="15" thickBot="1" x14ac:dyDescent="0.35">
      <c r="A24" s="142"/>
      <c r="B24" s="143"/>
      <c r="C24" s="88"/>
      <c r="F24" t="s">
        <v>53</v>
      </c>
      <c r="G24" s="9">
        <v>14500</v>
      </c>
      <c r="H24" s="9">
        <v>13050</v>
      </c>
      <c r="J24" s="274" t="s">
        <v>265</v>
      </c>
      <c r="K24" s="247"/>
      <c r="L24" s="247"/>
      <c r="M24" s="247"/>
      <c r="N24" s="247"/>
      <c r="O24" s="247"/>
      <c r="P24" s="247"/>
      <c r="Q24" s="247"/>
    </row>
    <row r="25" spans="1:17" ht="15" thickBot="1" x14ac:dyDescent="0.35">
      <c r="C25" s="90"/>
      <c r="F25" t="s">
        <v>54</v>
      </c>
      <c r="G25" s="12">
        <v>2025</v>
      </c>
      <c r="H25" s="12">
        <f>+H29*5</f>
        <v>2298.3000000000002</v>
      </c>
      <c r="J25" s="261" t="s">
        <v>259</v>
      </c>
      <c r="K25" s="261">
        <v>34</v>
      </c>
      <c r="L25" s="261" t="s">
        <v>257</v>
      </c>
      <c r="M25" s="261">
        <v>37.020000000000003</v>
      </c>
      <c r="N25" s="262" t="s">
        <v>321</v>
      </c>
      <c r="O25" s="261" t="s">
        <v>322</v>
      </c>
      <c r="P25" s="261" t="s">
        <v>261</v>
      </c>
      <c r="Q25" s="24">
        <v>200</v>
      </c>
    </row>
    <row r="26" spans="1:17" ht="16.2" thickBot="1" x14ac:dyDescent="0.35">
      <c r="A26" s="146" t="s">
        <v>164</v>
      </c>
      <c r="B26" s="147">
        <f>SUM(B27:B30)</f>
        <v>400</v>
      </c>
      <c r="C26" s="17" t="s">
        <v>165</v>
      </c>
      <c r="F26" s="10" t="s">
        <v>49</v>
      </c>
      <c r="G26" s="11">
        <f>+$G$6+G24+G25</f>
        <v>32934.379999999997</v>
      </c>
      <c r="H26" s="11">
        <f>+$H$6+H24+H25</f>
        <v>35047.47</v>
      </c>
      <c r="J26" s="261" t="s">
        <v>217</v>
      </c>
      <c r="K26" s="261"/>
      <c r="L26" s="261" t="s">
        <v>257</v>
      </c>
      <c r="M26" s="261">
        <v>37.869999999999997</v>
      </c>
      <c r="N26" s="262" t="s">
        <v>321</v>
      </c>
      <c r="O26" s="261" t="s">
        <v>322</v>
      </c>
      <c r="P26" s="261" t="s">
        <v>261</v>
      </c>
      <c r="Q26" s="24">
        <v>200</v>
      </c>
    </row>
    <row r="27" spans="1:17" x14ac:dyDescent="0.3">
      <c r="A27" s="144" t="s">
        <v>257</v>
      </c>
      <c r="B27" s="283">
        <f>200*2</f>
        <v>400</v>
      </c>
      <c r="C27" t="s">
        <v>178</v>
      </c>
      <c r="J27" s="247"/>
      <c r="K27" s="247"/>
      <c r="L27" s="247"/>
      <c r="M27" s="247"/>
      <c r="N27" s="247"/>
      <c r="O27" s="247"/>
      <c r="P27" s="247"/>
      <c r="Q27" s="269">
        <f>SUM(Q25:Q26)</f>
        <v>400</v>
      </c>
    </row>
    <row r="28" spans="1:17" x14ac:dyDescent="0.3">
      <c r="A28" s="140"/>
      <c r="B28" s="141"/>
    </row>
    <row r="29" spans="1:17" x14ac:dyDescent="0.3">
      <c r="A29" s="140"/>
      <c r="B29" s="141"/>
      <c r="F29" t="s">
        <v>61</v>
      </c>
      <c r="G29" s="14">
        <v>405</v>
      </c>
      <c r="H29" s="14">
        <v>459.66</v>
      </c>
    </row>
    <row r="30" spans="1:17" ht="15" thickBot="1" x14ac:dyDescent="0.35">
      <c r="A30" s="142"/>
      <c r="B30" s="143"/>
      <c r="F30" t="s">
        <v>64</v>
      </c>
      <c r="G30" s="14">
        <v>2900</v>
      </c>
      <c r="H30" s="14">
        <v>2610</v>
      </c>
    </row>
  </sheetData>
  <mergeCells count="3">
    <mergeCell ref="A1:C1"/>
    <mergeCell ref="F1:H1"/>
    <mergeCell ref="B5:C5"/>
  </mergeCells>
  <pageMargins left="0.7" right="0.7" top="0.75" bottom="0.75" header="0.3" footer="0.3"/>
  <pageSetup paperSize="9" orientation="portrait" horizontalDpi="4294967293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FB60E-6E41-47C7-903E-2F38BE4C664A}">
  <sheetPr>
    <tabColor rgb="FFFFFF00"/>
  </sheetPr>
  <dimension ref="A1:N30"/>
  <sheetViews>
    <sheetView zoomScale="90" zoomScaleNormal="90" workbookViewId="0">
      <selection activeCell="B20" sqref="B20"/>
    </sheetView>
  </sheetViews>
  <sheetFormatPr defaultColWidth="9.109375" defaultRowHeight="14.4" x14ac:dyDescent="0.3"/>
  <cols>
    <col min="1" max="1" width="51.5546875" bestFit="1" customWidth="1"/>
    <col min="2" max="2" width="14.5546875" customWidth="1"/>
    <col min="3" max="3" width="16.5546875" customWidth="1"/>
    <col min="6" max="6" width="21.5546875" bestFit="1" customWidth="1"/>
    <col min="7" max="7" width="15" hidden="1" customWidth="1"/>
    <col min="8" max="8" width="14.44140625" bestFit="1" customWidth="1"/>
    <col min="10" max="10" width="20.44140625" customWidth="1"/>
  </cols>
  <sheetData>
    <row r="1" spans="1:14" ht="15" thickBot="1" x14ac:dyDescent="0.35">
      <c r="A1" s="303" t="s">
        <v>126</v>
      </c>
      <c r="B1" s="304"/>
      <c r="C1" s="304"/>
      <c r="F1" s="305" t="s">
        <v>60</v>
      </c>
      <c r="G1" s="306"/>
      <c r="H1" s="307"/>
      <c r="I1">
        <v>1</v>
      </c>
      <c r="J1" s="76" t="s">
        <v>602</v>
      </c>
    </row>
    <row r="2" spans="1:14" x14ac:dyDescent="0.3">
      <c r="I2">
        <v>2</v>
      </c>
      <c r="J2" s="76" t="s">
        <v>603</v>
      </c>
    </row>
    <row r="3" spans="1:14" ht="15.6" x14ac:dyDescent="0.3">
      <c r="B3" s="13" t="s">
        <v>56</v>
      </c>
      <c r="C3" s="13" t="s">
        <v>57</v>
      </c>
      <c r="G3" s="13" t="s">
        <v>56</v>
      </c>
      <c r="H3" s="13" t="s">
        <v>57</v>
      </c>
      <c r="I3">
        <v>3</v>
      </c>
      <c r="J3" s="76" t="s">
        <v>604</v>
      </c>
      <c r="K3" s="16"/>
    </row>
    <row r="4" spans="1:14" x14ac:dyDescent="0.3">
      <c r="F4" t="s">
        <v>46</v>
      </c>
      <c r="G4" s="8">
        <v>13574.38</v>
      </c>
      <c r="H4" s="9">
        <v>16481.55</v>
      </c>
      <c r="I4">
        <v>4</v>
      </c>
      <c r="J4" s="76" t="s">
        <v>605</v>
      </c>
    </row>
    <row r="5" spans="1:14" x14ac:dyDescent="0.3">
      <c r="A5" s="1" t="s">
        <v>58</v>
      </c>
      <c r="B5" s="308">
        <f>+H4</f>
        <v>16481.55</v>
      </c>
      <c r="C5" s="308"/>
      <c r="F5" t="s">
        <v>55</v>
      </c>
      <c r="G5" s="8">
        <v>2835</v>
      </c>
      <c r="H5" s="8">
        <f>+H29*7</f>
        <v>3217.6200000000003</v>
      </c>
      <c r="I5">
        <v>5</v>
      </c>
      <c r="J5" s="76" t="s">
        <v>606</v>
      </c>
      <c r="K5" s="205"/>
      <c r="L5" s="179"/>
    </row>
    <row r="6" spans="1:14" ht="15.6" x14ac:dyDescent="0.3">
      <c r="A6" s="1" t="s">
        <v>65</v>
      </c>
      <c r="B6" s="4">
        <v>0</v>
      </c>
      <c r="C6" s="26">
        <v>7</v>
      </c>
      <c r="F6" s="10" t="s">
        <v>47</v>
      </c>
      <c r="G6" s="11">
        <f>SUM(G4:G5)</f>
        <v>16409.379999999997</v>
      </c>
      <c r="H6" s="11">
        <f>SUM(H4:H5)</f>
        <v>19699.169999999998</v>
      </c>
      <c r="I6">
        <v>6</v>
      </c>
      <c r="J6" s="76" t="s">
        <v>607</v>
      </c>
      <c r="K6" s="188"/>
      <c r="L6" s="189"/>
    </row>
    <row r="7" spans="1:14" x14ac:dyDescent="0.3">
      <c r="A7" s="1" t="s">
        <v>59</v>
      </c>
      <c r="B7" s="15">
        <f>+$G$29*B6</f>
        <v>0</v>
      </c>
      <c r="C7" s="15">
        <f>+H5</f>
        <v>3217.6200000000003</v>
      </c>
      <c r="I7">
        <v>7</v>
      </c>
      <c r="J7" s="76" t="s">
        <v>608</v>
      </c>
      <c r="K7" s="188"/>
      <c r="L7" s="188"/>
    </row>
    <row r="8" spans="1:14" x14ac:dyDescent="0.3">
      <c r="F8" t="s">
        <v>48</v>
      </c>
      <c r="G8" s="9">
        <v>2900</v>
      </c>
      <c r="H8" s="9">
        <v>2610</v>
      </c>
      <c r="I8">
        <v>8</v>
      </c>
      <c r="J8" s="76" t="s">
        <v>609</v>
      </c>
      <c r="K8" s="180"/>
      <c r="L8" s="182"/>
      <c r="N8" s="70" t="s">
        <v>169</v>
      </c>
    </row>
    <row r="9" spans="1:14" x14ac:dyDescent="0.3">
      <c r="A9" s="1" t="s">
        <v>63</v>
      </c>
      <c r="B9" s="4">
        <v>0</v>
      </c>
      <c r="C9" s="4">
        <v>5</v>
      </c>
      <c r="D9" s="24">
        <f>+C6+C9</f>
        <v>12</v>
      </c>
      <c r="F9" t="s">
        <v>54</v>
      </c>
      <c r="G9" s="12">
        <v>405</v>
      </c>
      <c r="H9" s="12">
        <f>+H29</f>
        <v>459.66</v>
      </c>
      <c r="I9">
        <v>9</v>
      </c>
      <c r="J9" s="76" t="s">
        <v>610</v>
      </c>
      <c r="K9" s="182"/>
      <c r="L9" s="180"/>
      <c r="N9" s="70" t="s">
        <v>170</v>
      </c>
    </row>
    <row r="10" spans="1:14" ht="15.6" x14ac:dyDescent="0.3">
      <c r="A10" s="1" t="s">
        <v>62</v>
      </c>
      <c r="B10" s="15">
        <f>+$G$30*B9</f>
        <v>0</v>
      </c>
      <c r="C10" s="15">
        <f>+$H$30*C9</f>
        <v>13050</v>
      </c>
      <c r="F10" s="10" t="s">
        <v>49</v>
      </c>
      <c r="G10" s="11">
        <f>+$G$6+G8+G9</f>
        <v>19714.379999999997</v>
      </c>
      <c r="H10" s="11">
        <f>+$H$6+H8+H9</f>
        <v>22768.829999999998</v>
      </c>
      <c r="I10">
        <v>10</v>
      </c>
      <c r="J10" s="76" t="s">
        <v>611</v>
      </c>
      <c r="K10" s="188"/>
      <c r="L10" s="189"/>
    </row>
    <row r="11" spans="1:14" x14ac:dyDescent="0.3">
      <c r="A11" s="1" t="s">
        <v>67</v>
      </c>
      <c r="B11" s="15">
        <f>+$G$29*B9</f>
        <v>0</v>
      </c>
      <c r="C11" s="15">
        <f>+$H$29*C9</f>
        <v>2298.3000000000002</v>
      </c>
      <c r="I11">
        <v>11</v>
      </c>
      <c r="J11" s="76" t="s">
        <v>612</v>
      </c>
      <c r="K11" s="183"/>
      <c r="L11" s="184"/>
    </row>
    <row r="12" spans="1:14" x14ac:dyDescent="0.3">
      <c r="F12" t="s">
        <v>50</v>
      </c>
      <c r="G12" s="9">
        <v>5800</v>
      </c>
      <c r="H12" s="9">
        <v>5220</v>
      </c>
      <c r="I12">
        <v>12</v>
      </c>
      <c r="J12" s="102" t="s">
        <v>613</v>
      </c>
    </row>
    <row r="13" spans="1:14" x14ac:dyDescent="0.3">
      <c r="F13" t="s">
        <v>54</v>
      </c>
      <c r="G13" s="12">
        <v>810</v>
      </c>
      <c r="H13" s="12">
        <f>+H29*2</f>
        <v>919.32</v>
      </c>
      <c r="J13" s="153">
        <f>12*150</f>
        <v>1800</v>
      </c>
    </row>
    <row r="14" spans="1:14" ht="15.6" x14ac:dyDescent="0.3">
      <c r="C14" s="14"/>
      <c r="F14" s="10" t="s">
        <v>49</v>
      </c>
      <c r="G14" s="11">
        <f>+$G$6+G12+G13</f>
        <v>23019.379999999997</v>
      </c>
      <c r="H14" s="11">
        <f>+$H$6+H12+H13</f>
        <v>25838.489999999998</v>
      </c>
      <c r="J14" s="186"/>
    </row>
    <row r="15" spans="1:14" x14ac:dyDescent="0.3">
      <c r="A15" s="1" t="s">
        <v>68</v>
      </c>
      <c r="B15" s="15">
        <f>+B10+C10</f>
        <v>13050</v>
      </c>
      <c r="C15" s="14"/>
      <c r="J15" s="186" t="s">
        <v>212</v>
      </c>
    </row>
    <row r="16" spans="1:14" x14ac:dyDescent="0.3">
      <c r="A16" s="80" t="s">
        <v>66</v>
      </c>
      <c r="B16" s="81">
        <f>B7+C7+B11+C11</f>
        <v>5515.92</v>
      </c>
      <c r="C16" s="21"/>
      <c r="D16" s="17"/>
      <c r="F16" t="s">
        <v>51</v>
      </c>
      <c r="G16" s="9">
        <v>8700</v>
      </c>
      <c r="H16" s="9">
        <v>7830</v>
      </c>
      <c r="J16" s="153" t="s">
        <v>225</v>
      </c>
      <c r="K16" s="226">
        <v>1400</v>
      </c>
    </row>
    <row r="17" spans="1:11" x14ac:dyDescent="0.3">
      <c r="F17" t="s">
        <v>54</v>
      </c>
      <c r="G17" s="12">
        <v>1215</v>
      </c>
      <c r="H17" s="12">
        <f>+H29*3</f>
        <v>1378.98</v>
      </c>
      <c r="J17" s="102" t="s">
        <v>232</v>
      </c>
      <c r="K17" s="226">
        <v>1400</v>
      </c>
    </row>
    <row r="18" spans="1:11" ht="15.6" x14ac:dyDescent="0.3">
      <c r="A18" s="1" t="s">
        <v>69</v>
      </c>
      <c r="B18" s="248">
        <v>5600</v>
      </c>
      <c r="C18" t="s">
        <v>178</v>
      </c>
      <c r="F18" s="10" t="s">
        <v>49</v>
      </c>
      <c r="G18" s="11">
        <f>+$G$6+G16+G17</f>
        <v>26324.379999999997</v>
      </c>
      <c r="H18" s="11">
        <f>+$H$6+H16+H17</f>
        <v>28908.149999999998</v>
      </c>
      <c r="J18" s="102" t="s">
        <v>231</v>
      </c>
      <c r="K18" s="107">
        <v>1400</v>
      </c>
    </row>
    <row r="19" spans="1:11" ht="15" thickBot="1" x14ac:dyDescent="0.35">
      <c r="J19" s="102" t="s">
        <v>226</v>
      </c>
      <c r="K19" s="226">
        <v>1400</v>
      </c>
    </row>
    <row r="20" spans="1:11" ht="15" thickBot="1" x14ac:dyDescent="0.35">
      <c r="A20" s="146" t="s">
        <v>163</v>
      </c>
      <c r="B20" s="148">
        <f>D9*150</f>
        <v>1800</v>
      </c>
      <c r="C20" s="17" t="s">
        <v>165</v>
      </c>
      <c r="F20" t="s">
        <v>52</v>
      </c>
      <c r="G20" s="9">
        <v>11600</v>
      </c>
      <c r="H20" s="9">
        <v>10440</v>
      </c>
      <c r="J20" s="185"/>
      <c r="K20">
        <f>SUM(K16:K19)</f>
        <v>5600</v>
      </c>
    </row>
    <row r="21" spans="1:11" x14ac:dyDescent="0.3">
      <c r="A21" s="144"/>
      <c r="B21" s="145"/>
      <c r="C21" t="s">
        <v>178</v>
      </c>
      <c r="D21" s="17"/>
      <c r="F21" t="s">
        <v>54</v>
      </c>
      <c r="G21" s="12">
        <v>1620</v>
      </c>
      <c r="H21" s="12">
        <f>+H29*4</f>
        <v>1838.64</v>
      </c>
      <c r="J21" s="166"/>
    </row>
    <row r="22" spans="1:11" ht="15.6" x14ac:dyDescent="0.3">
      <c r="A22" s="140"/>
      <c r="B22" s="141"/>
      <c r="D22" s="17"/>
      <c r="F22" s="10" t="s">
        <v>49</v>
      </c>
      <c r="G22" s="11">
        <f>+$G$6+G20+G21</f>
        <v>29629.379999999997</v>
      </c>
      <c r="H22" s="11">
        <f>+$H$6+H20+H21</f>
        <v>31977.809999999998</v>
      </c>
      <c r="J22" s="166"/>
    </row>
    <row r="23" spans="1:11" x14ac:dyDescent="0.3">
      <c r="A23" s="140"/>
      <c r="B23" s="141"/>
      <c r="C23" s="14"/>
      <c r="J23" s="190"/>
    </row>
    <row r="24" spans="1:11" ht="15" thickBot="1" x14ac:dyDescent="0.35">
      <c r="A24" s="142"/>
      <c r="B24" s="143"/>
      <c r="C24" s="88"/>
      <c r="F24" t="s">
        <v>53</v>
      </c>
      <c r="G24" s="9">
        <v>14500</v>
      </c>
      <c r="H24" s="9">
        <v>13050</v>
      </c>
      <c r="J24" s="191"/>
    </row>
    <row r="25" spans="1:11" ht="15" thickBot="1" x14ac:dyDescent="0.35">
      <c r="C25" s="90"/>
      <c r="F25" t="s">
        <v>54</v>
      </c>
      <c r="G25" s="12">
        <v>2025</v>
      </c>
      <c r="H25" s="12">
        <f>+H29*5</f>
        <v>2298.3000000000002</v>
      </c>
    </row>
    <row r="26" spans="1:11" ht="16.2" thickBot="1" x14ac:dyDescent="0.35">
      <c r="A26" s="146" t="s">
        <v>164</v>
      </c>
      <c r="B26" s="147">
        <f>SUM(B27:B30)</f>
        <v>0</v>
      </c>
      <c r="C26" s="17" t="s">
        <v>165</v>
      </c>
      <c r="F26" s="10" t="s">
        <v>49</v>
      </c>
      <c r="G26" s="11">
        <f>+$G$6+G24+G25</f>
        <v>32934.379999999997</v>
      </c>
      <c r="H26" s="11">
        <f>+$H$6+H24+H25</f>
        <v>35047.47</v>
      </c>
    </row>
    <row r="27" spans="1:11" x14ac:dyDescent="0.3">
      <c r="A27" s="144"/>
      <c r="B27" s="145"/>
    </row>
    <row r="28" spans="1:11" x14ac:dyDescent="0.3">
      <c r="A28" s="140"/>
      <c r="B28" s="141"/>
    </row>
    <row r="29" spans="1:11" x14ac:dyDescent="0.3">
      <c r="A29" s="140"/>
      <c r="B29" s="141"/>
      <c r="F29" t="s">
        <v>61</v>
      </c>
      <c r="G29" s="14">
        <v>405</v>
      </c>
      <c r="H29" s="14">
        <v>459.66</v>
      </c>
    </row>
    <row r="30" spans="1:11" ht="15" thickBot="1" x14ac:dyDescent="0.35">
      <c r="A30" s="142"/>
      <c r="B30" s="143"/>
      <c r="F30" t="s">
        <v>64</v>
      </c>
      <c r="G30" s="14">
        <v>2900</v>
      </c>
      <c r="H30" s="14">
        <v>2610</v>
      </c>
    </row>
  </sheetData>
  <mergeCells count="3">
    <mergeCell ref="A1:C1"/>
    <mergeCell ref="F1:H1"/>
    <mergeCell ref="B5:C5"/>
  </mergeCells>
  <pageMargins left="0.7" right="0.7" top="0.75" bottom="0.75" header="0.3" footer="0.3"/>
  <pageSetup paperSize="9" orientation="portrait" horizontalDpi="4294967293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8BFE0-F606-47DD-B699-5A9622B2C2F3}">
  <sheetPr>
    <tabColor rgb="FFFFFF00"/>
  </sheetPr>
  <dimension ref="A1:O32"/>
  <sheetViews>
    <sheetView zoomScale="90" zoomScaleNormal="90" workbookViewId="0">
      <selection activeCell="B20" sqref="B20"/>
    </sheetView>
  </sheetViews>
  <sheetFormatPr defaultColWidth="9.109375" defaultRowHeight="14.4" x14ac:dyDescent="0.3"/>
  <cols>
    <col min="1" max="1" width="50" customWidth="1"/>
    <col min="2" max="2" width="14.5546875" customWidth="1"/>
    <col min="3" max="3" width="16.5546875" customWidth="1"/>
    <col min="5" max="5" width="14.5546875" customWidth="1"/>
    <col min="6" max="6" width="21.5546875" bestFit="1" customWidth="1"/>
    <col min="7" max="7" width="15" hidden="1" customWidth="1"/>
    <col min="8" max="8" width="14.44140625" bestFit="1" customWidth="1"/>
    <col min="10" max="10" width="20.33203125" customWidth="1"/>
  </cols>
  <sheetData>
    <row r="1" spans="1:15" ht="15" thickBot="1" x14ac:dyDescent="0.35">
      <c r="A1" s="303" t="s">
        <v>79</v>
      </c>
      <c r="B1" s="304"/>
      <c r="C1" s="304"/>
      <c r="F1" s="305" t="s">
        <v>60</v>
      </c>
      <c r="G1" s="306"/>
      <c r="H1" s="307"/>
      <c r="I1">
        <v>1</v>
      </c>
      <c r="J1" s="133" t="s">
        <v>614</v>
      </c>
    </row>
    <row r="2" spans="1:15" x14ac:dyDescent="0.3">
      <c r="I2">
        <v>2</v>
      </c>
      <c r="J2" s="133" t="s">
        <v>615</v>
      </c>
    </row>
    <row r="3" spans="1:15" ht="15.6" x14ac:dyDescent="0.3">
      <c r="B3" s="13" t="s">
        <v>56</v>
      </c>
      <c r="C3" s="13" t="s">
        <v>57</v>
      </c>
      <c r="G3" s="13" t="s">
        <v>56</v>
      </c>
      <c r="H3" s="13" t="s">
        <v>57</v>
      </c>
      <c r="I3">
        <v>3</v>
      </c>
      <c r="J3" s="133" t="s">
        <v>616</v>
      </c>
      <c r="K3" s="16"/>
    </row>
    <row r="4" spans="1:15" x14ac:dyDescent="0.3">
      <c r="F4" t="s">
        <v>46</v>
      </c>
      <c r="G4" s="8">
        <v>13574.38</v>
      </c>
      <c r="H4" s="9">
        <v>16481.55</v>
      </c>
      <c r="I4">
        <v>4</v>
      </c>
      <c r="J4" s="133" t="s">
        <v>617</v>
      </c>
    </row>
    <row r="5" spans="1:15" x14ac:dyDescent="0.3">
      <c r="A5" s="1" t="s">
        <v>58</v>
      </c>
      <c r="B5" s="308">
        <f>+H4</f>
        <v>16481.55</v>
      </c>
      <c r="C5" s="308"/>
      <c r="F5" t="s">
        <v>55</v>
      </c>
      <c r="G5" s="8">
        <v>2835</v>
      </c>
      <c r="H5" s="8">
        <f>+H29*7</f>
        <v>3217.6200000000003</v>
      </c>
      <c r="I5">
        <v>5</v>
      </c>
      <c r="J5" s="133" t="s">
        <v>618</v>
      </c>
      <c r="K5" s="205"/>
      <c r="L5" s="205"/>
      <c r="M5" s="179"/>
    </row>
    <row r="6" spans="1:15" ht="15.6" x14ac:dyDescent="0.3">
      <c r="A6" s="1" t="s">
        <v>65</v>
      </c>
      <c r="B6" s="4">
        <v>0</v>
      </c>
      <c r="C6" s="26">
        <v>7</v>
      </c>
      <c r="F6" s="10" t="s">
        <v>47</v>
      </c>
      <c r="G6" s="11">
        <f>SUM(G4:G5)</f>
        <v>16409.379999999997</v>
      </c>
      <c r="H6" s="11">
        <f>SUM(H4:H5)</f>
        <v>19699.169999999998</v>
      </c>
      <c r="I6">
        <v>6</v>
      </c>
      <c r="J6" s="133" t="s">
        <v>619</v>
      </c>
      <c r="K6" s="182"/>
    </row>
    <row r="7" spans="1:15" x14ac:dyDescent="0.3">
      <c r="A7" s="1" t="s">
        <v>59</v>
      </c>
      <c r="B7" s="15">
        <f>+$G$29*B6</f>
        <v>0</v>
      </c>
      <c r="C7" s="15">
        <f>+H5</f>
        <v>3217.6200000000003</v>
      </c>
      <c r="I7">
        <v>7</v>
      </c>
      <c r="J7" s="76" t="s">
        <v>620</v>
      </c>
      <c r="K7" s="182"/>
    </row>
    <row r="8" spans="1:15" x14ac:dyDescent="0.3">
      <c r="F8" t="s">
        <v>48</v>
      </c>
      <c r="G8" s="9">
        <v>2900</v>
      </c>
      <c r="H8" s="9">
        <v>2610</v>
      </c>
      <c r="I8">
        <v>8</v>
      </c>
      <c r="J8" s="76" t="s">
        <v>621</v>
      </c>
      <c r="K8" s="182"/>
      <c r="O8" s="70" t="s">
        <v>169</v>
      </c>
    </row>
    <row r="9" spans="1:15" x14ac:dyDescent="0.3">
      <c r="A9" s="1" t="s">
        <v>63</v>
      </c>
      <c r="B9" s="4">
        <v>0</v>
      </c>
      <c r="C9" s="4">
        <v>7</v>
      </c>
      <c r="D9" s="24">
        <f>C6+C9</f>
        <v>14</v>
      </c>
      <c r="F9" t="s">
        <v>54</v>
      </c>
      <c r="G9" s="12">
        <v>405</v>
      </c>
      <c r="H9" s="12">
        <f>+H29</f>
        <v>459.66</v>
      </c>
      <c r="I9">
        <v>9</v>
      </c>
      <c r="J9" s="76" t="s">
        <v>622</v>
      </c>
      <c r="K9" s="180"/>
      <c r="O9" s="70" t="s">
        <v>170</v>
      </c>
    </row>
    <row r="10" spans="1:15" ht="15.6" x14ac:dyDescent="0.3">
      <c r="A10" s="1" t="s">
        <v>62</v>
      </c>
      <c r="B10" s="15">
        <f>+$G$30*B9</f>
        <v>0</v>
      </c>
      <c r="C10" s="15">
        <f>+$H$30*C9</f>
        <v>18270</v>
      </c>
      <c r="F10" s="10" t="s">
        <v>49</v>
      </c>
      <c r="G10" s="11">
        <f>+$G$6+G8+G9</f>
        <v>19714.379999999997</v>
      </c>
      <c r="H10" s="11">
        <f>+$H$6+H8+H9</f>
        <v>22768.829999999998</v>
      </c>
      <c r="I10">
        <v>10</v>
      </c>
      <c r="J10" s="76" t="s">
        <v>623</v>
      </c>
      <c r="K10" s="187"/>
    </row>
    <row r="11" spans="1:15" x14ac:dyDescent="0.3">
      <c r="A11" s="1" t="s">
        <v>67</v>
      </c>
      <c r="B11" s="15">
        <f>+$G$29*B9</f>
        <v>0</v>
      </c>
      <c r="C11" s="15">
        <f>+$H$29*C9</f>
        <v>3217.6200000000003</v>
      </c>
      <c r="I11">
        <v>11</v>
      </c>
      <c r="J11" s="133" t="s">
        <v>624</v>
      </c>
      <c r="K11" s="184"/>
    </row>
    <row r="12" spans="1:15" x14ac:dyDescent="0.3">
      <c r="F12" t="s">
        <v>50</v>
      </c>
      <c r="G12" s="9">
        <v>5800</v>
      </c>
      <c r="H12" s="9">
        <v>5220</v>
      </c>
      <c r="I12">
        <v>12</v>
      </c>
      <c r="J12" s="133" t="s">
        <v>625</v>
      </c>
    </row>
    <row r="13" spans="1:15" x14ac:dyDescent="0.3">
      <c r="D13" s="18"/>
      <c r="F13" t="s">
        <v>54</v>
      </c>
      <c r="G13" s="12">
        <v>810</v>
      </c>
      <c r="H13" s="12">
        <f>+H29*2</f>
        <v>919.32</v>
      </c>
      <c r="I13">
        <v>13</v>
      </c>
      <c r="J13" s="133" t="s">
        <v>337</v>
      </c>
    </row>
    <row r="14" spans="1:15" ht="15.6" x14ac:dyDescent="0.3">
      <c r="F14" s="10" t="s">
        <v>49</v>
      </c>
      <c r="G14" s="11">
        <f>+$G$6+G12+G13</f>
        <v>23019.379999999997</v>
      </c>
      <c r="H14" s="11">
        <f>+$H$6+H12+H13</f>
        <v>25838.489999999998</v>
      </c>
      <c r="I14">
        <v>14</v>
      </c>
      <c r="J14" s="133" t="s">
        <v>372</v>
      </c>
    </row>
    <row r="15" spans="1:15" x14ac:dyDescent="0.3">
      <c r="A15" s="1" t="s">
        <v>68</v>
      </c>
      <c r="B15" s="15">
        <f>+B10+C10</f>
        <v>18270</v>
      </c>
      <c r="C15" s="14"/>
      <c r="J15" s="185">
        <f>14*150</f>
        <v>2100</v>
      </c>
    </row>
    <row r="16" spans="1:15" x14ac:dyDescent="0.3">
      <c r="A16" s="80" t="s">
        <v>66</v>
      </c>
      <c r="B16" s="81">
        <f>B7+C7+B11+C11</f>
        <v>6435.2400000000007</v>
      </c>
      <c r="C16" s="21"/>
      <c r="D16" s="17"/>
      <c r="F16" t="s">
        <v>51</v>
      </c>
      <c r="G16" s="9">
        <v>8700</v>
      </c>
      <c r="H16" s="9">
        <v>7830</v>
      </c>
      <c r="J16" s="185" t="s">
        <v>177</v>
      </c>
    </row>
    <row r="17" spans="1:11" x14ac:dyDescent="0.3">
      <c r="F17" t="s">
        <v>54</v>
      </c>
      <c r="G17" s="12">
        <v>1215</v>
      </c>
      <c r="H17" s="12">
        <f>+H29*3</f>
        <v>1378.98</v>
      </c>
      <c r="J17" s="153" t="s">
        <v>221</v>
      </c>
      <c r="K17" s="226">
        <v>1400</v>
      </c>
    </row>
    <row r="18" spans="1:11" ht="15.6" x14ac:dyDescent="0.3">
      <c r="A18" s="1" t="s">
        <v>69</v>
      </c>
      <c r="B18" s="248">
        <v>5600</v>
      </c>
      <c r="C18" t="s">
        <v>178</v>
      </c>
      <c r="F18" s="10" t="s">
        <v>49</v>
      </c>
      <c r="G18" s="11">
        <f>+$G$6+G16+G17</f>
        <v>26324.379999999997</v>
      </c>
      <c r="H18" s="11">
        <f>+$H$6+H16+H17</f>
        <v>28908.149999999998</v>
      </c>
      <c r="J18" s="102" t="s">
        <v>232</v>
      </c>
      <c r="K18" s="226">
        <v>1400</v>
      </c>
    </row>
    <row r="19" spans="1:11" ht="15" thickBot="1" x14ac:dyDescent="0.35">
      <c r="J19" s="102" t="s">
        <v>231</v>
      </c>
      <c r="K19" s="107">
        <v>1400</v>
      </c>
    </row>
    <row r="20" spans="1:11" ht="15" thickBot="1" x14ac:dyDescent="0.35">
      <c r="A20" s="146" t="s">
        <v>163</v>
      </c>
      <c r="B20" s="148">
        <f>D9*150</f>
        <v>2100</v>
      </c>
      <c r="C20" s="17" t="s">
        <v>165</v>
      </c>
      <c r="F20" t="s">
        <v>52</v>
      </c>
      <c r="G20" s="9">
        <v>11600</v>
      </c>
      <c r="H20" s="9">
        <v>10440</v>
      </c>
      <c r="J20" s="102" t="s">
        <v>226</v>
      </c>
      <c r="K20" s="226">
        <v>1400</v>
      </c>
    </row>
    <row r="21" spans="1:11" x14ac:dyDescent="0.3">
      <c r="A21" s="144"/>
      <c r="B21" s="145"/>
      <c r="C21" t="s">
        <v>178</v>
      </c>
      <c r="F21" t="s">
        <v>54</v>
      </c>
      <c r="G21" s="12">
        <v>1620</v>
      </c>
      <c r="H21" s="12">
        <f>+H29*4</f>
        <v>1838.64</v>
      </c>
      <c r="J21" s="102"/>
      <c r="K21" s="102">
        <f>SUM(K17:K20)</f>
        <v>5600</v>
      </c>
    </row>
    <row r="22" spans="1:11" ht="15.6" x14ac:dyDescent="0.3">
      <c r="A22" s="140"/>
      <c r="B22" s="141"/>
      <c r="F22" s="10" t="s">
        <v>49</v>
      </c>
      <c r="G22" s="11">
        <f>+$G$6+G20+G21</f>
        <v>29629.379999999997</v>
      </c>
      <c r="H22" s="11">
        <f>+$H$6+H20+H21</f>
        <v>31977.809999999998</v>
      </c>
    </row>
    <row r="23" spans="1:11" x14ac:dyDescent="0.3">
      <c r="A23" s="140"/>
      <c r="B23" s="141"/>
      <c r="C23" s="14"/>
    </row>
    <row r="24" spans="1:11" ht="15" thickBot="1" x14ac:dyDescent="0.35">
      <c r="A24" s="142"/>
      <c r="B24" s="143"/>
      <c r="C24" s="88"/>
      <c r="F24" t="s">
        <v>53</v>
      </c>
      <c r="G24" s="9">
        <v>14500</v>
      </c>
      <c r="H24" s="9">
        <v>13050</v>
      </c>
    </row>
    <row r="25" spans="1:11" ht="15" thickBot="1" x14ac:dyDescent="0.35">
      <c r="C25" s="90"/>
      <c r="F25" t="s">
        <v>54</v>
      </c>
      <c r="G25" s="12">
        <v>2025</v>
      </c>
      <c r="H25" s="12">
        <f>+H29*5</f>
        <v>2298.3000000000002</v>
      </c>
    </row>
    <row r="26" spans="1:11" ht="16.2" thickBot="1" x14ac:dyDescent="0.35">
      <c r="A26" s="146" t="s">
        <v>164</v>
      </c>
      <c r="B26" s="147">
        <f>SUM(B27:B30)</f>
        <v>0</v>
      </c>
      <c r="C26" s="17" t="s">
        <v>165</v>
      </c>
      <c r="F26" s="10" t="s">
        <v>49</v>
      </c>
      <c r="G26" s="11">
        <f>+$G$6+G24+G25</f>
        <v>32934.379999999997</v>
      </c>
      <c r="H26" s="11">
        <f>+$H$6+H24+H25</f>
        <v>35047.47</v>
      </c>
    </row>
    <row r="27" spans="1:11" x14ac:dyDescent="0.3">
      <c r="A27" s="144" t="s">
        <v>175</v>
      </c>
      <c r="B27" s="145"/>
    </row>
    <row r="28" spans="1:11" x14ac:dyDescent="0.3">
      <c r="A28" s="140"/>
      <c r="B28" s="141"/>
    </row>
    <row r="29" spans="1:11" x14ac:dyDescent="0.3">
      <c r="A29" s="140"/>
      <c r="B29" s="141"/>
      <c r="F29" t="s">
        <v>61</v>
      </c>
      <c r="G29" s="14">
        <v>405</v>
      </c>
      <c r="H29" s="14">
        <v>459.66</v>
      </c>
    </row>
    <row r="30" spans="1:11" ht="15" thickBot="1" x14ac:dyDescent="0.35">
      <c r="A30" s="142"/>
      <c r="B30" s="143"/>
      <c r="F30" t="s">
        <v>64</v>
      </c>
      <c r="G30" s="14">
        <v>2900</v>
      </c>
      <c r="H30" s="14">
        <v>2610</v>
      </c>
    </row>
    <row r="32" spans="1:11" x14ac:dyDescent="0.3">
      <c r="H32">
        <f>2610-401.46</f>
        <v>2208.54</v>
      </c>
    </row>
  </sheetData>
  <mergeCells count="3">
    <mergeCell ref="A1:C1"/>
    <mergeCell ref="B5:C5"/>
    <mergeCell ref="F1:H1"/>
  </mergeCells>
  <pageMargins left="0.7" right="0.7" top="0.75" bottom="0.75" header="0.3" footer="0.3"/>
  <pageSetup paperSize="9" orientation="portrait" horizontalDpi="4294967293" verticalDpi="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F6EA-D109-4164-9B7B-45FCF8D29A24}">
  <sheetPr>
    <tabColor rgb="FFFFFF00"/>
  </sheetPr>
  <dimension ref="A1:Q34"/>
  <sheetViews>
    <sheetView zoomScale="90" zoomScaleNormal="90" workbookViewId="0">
      <selection activeCell="B20" sqref="B20"/>
    </sheetView>
  </sheetViews>
  <sheetFormatPr defaultColWidth="9.109375" defaultRowHeight="14.4" x14ac:dyDescent="0.3"/>
  <cols>
    <col min="1" max="1" width="56.5546875" customWidth="1"/>
    <col min="2" max="2" width="14.5546875" customWidth="1"/>
    <col min="3" max="3" width="17.5546875" customWidth="1"/>
    <col min="4" max="4" width="10.109375" bestFit="1" customWidth="1"/>
    <col min="5" max="5" width="20" customWidth="1"/>
    <col min="6" max="6" width="21.5546875" bestFit="1" customWidth="1"/>
    <col min="7" max="7" width="15" hidden="1" customWidth="1"/>
    <col min="8" max="8" width="14.44140625" bestFit="1" customWidth="1"/>
    <col min="10" max="10" width="20.5546875" customWidth="1"/>
    <col min="11" max="11" width="10.44140625" customWidth="1"/>
  </cols>
  <sheetData>
    <row r="1" spans="1:17" ht="15" thickBot="1" x14ac:dyDescent="0.35">
      <c r="A1" s="303" t="s">
        <v>120</v>
      </c>
      <c r="B1" s="304"/>
      <c r="C1" s="304"/>
      <c r="F1" s="305" t="s">
        <v>60</v>
      </c>
      <c r="G1" s="306"/>
      <c r="H1" s="307"/>
      <c r="I1">
        <v>1</v>
      </c>
      <c r="J1" s="76" t="s">
        <v>626</v>
      </c>
    </row>
    <row r="2" spans="1:17" x14ac:dyDescent="0.3">
      <c r="I2">
        <v>2</v>
      </c>
      <c r="J2" s="133" t="s">
        <v>627</v>
      </c>
    </row>
    <row r="3" spans="1:17" ht="15.6" x14ac:dyDescent="0.3">
      <c r="B3" s="13" t="s">
        <v>56</v>
      </c>
      <c r="C3" s="13" t="s">
        <v>57</v>
      </c>
      <c r="G3" s="13" t="s">
        <v>56</v>
      </c>
      <c r="H3" s="13" t="s">
        <v>57</v>
      </c>
      <c r="I3">
        <v>3</v>
      </c>
      <c r="J3" s="133" t="s">
        <v>628</v>
      </c>
      <c r="K3" s="16"/>
    </row>
    <row r="4" spans="1:17" x14ac:dyDescent="0.3">
      <c r="F4" t="s">
        <v>46</v>
      </c>
      <c r="G4" s="8">
        <v>13574.38</v>
      </c>
      <c r="H4" s="9">
        <v>16481.509999999998</v>
      </c>
      <c r="I4">
        <v>4</v>
      </c>
      <c r="J4" s="133" t="s">
        <v>629</v>
      </c>
    </row>
    <row r="5" spans="1:17" x14ac:dyDescent="0.3">
      <c r="A5" s="1" t="s">
        <v>58</v>
      </c>
      <c r="B5" s="308">
        <f>+H4</f>
        <v>16481.509999999998</v>
      </c>
      <c r="C5" s="308"/>
      <c r="F5" t="s">
        <v>55</v>
      </c>
      <c r="G5" s="8">
        <v>2835</v>
      </c>
      <c r="H5" s="8">
        <f>+H29*7</f>
        <v>3217.6200000000003</v>
      </c>
      <c r="I5">
        <v>5</v>
      </c>
      <c r="J5" s="76" t="s">
        <v>630</v>
      </c>
    </row>
    <row r="6" spans="1:17" ht="15.6" x14ac:dyDescent="0.3">
      <c r="A6" s="1" t="s">
        <v>65</v>
      </c>
      <c r="B6" s="4">
        <v>0</v>
      </c>
      <c r="C6" s="26">
        <v>7</v>
      </c>
      <c r="F6" s="10" t="s">
        <v>47</v>
      </c>
      <c r="G6" s="11">
        <f>SUM(G4:G5)</f>
        <v>16409.379999999997</v>
      </c>
      <c r="H6" s="11">
        <f>SUM(H4:H5)</f>
        <v>19699.129999999997</v>
      </c>
      <c r="I6">
        <v>6</v>
      </c>
      <c r="J6" s="76" t="s">
        <v>631</v>
      </c>
      <c r="L6" s="205"/>
      <c r="M6" s="205"/>
      <c r="N6" s="179"/>
    </row>
    <row r="7" spans="1:17" x14ac:dyDescent="0.3">
      <c r="A7" s="1" t="s">
        <v>59</v>
      </c>
      <c r="B7" s="15">
        <f>+$G$29*B6</f>
        <v>0</v>
      </c>
      <c r="C7" s="15">
        <f>+H5</f>
        <v>3217.6200000000003</v>
      </c>
      <c r="I7">
        <v>7</v>
      </c>
      <c r="J7" s="76" t="s">
        <v>632</v>
      </c>
      <c r="L7" s="120"/>
      <c r="M7" s="180"/>
      <c r="N7" s="181"/>
    </row>
    <row r="8" spans="1:17" x14ac:dyDescent="0.3">
      <c r="F8" t="s">
        <v>48</v>
      </c>
      <c r="G8" s="9">
        <v>2900</v>
      </c>
      <c r="H8" s="9">
        <v>2610</v>
      </c>
      <c r="I8">
        <v>8</v>
      </c>
      <c r="J8" s="76" t="s">
        <v>633</v>
      </c>
      <c r="L8" s="180"/>
      <c r="M8" s="180"/>
      <c r="N8" s="182"/>
      <c r="Q8" s="70" t="s">
        <v>169</v>
      </c>
    </row>
    <row r="9" spans="1:17" x14ac:dyDescent="0.3">
      <c r="A9" s="1" t="s">
        <v>63</v>
      </c>
      <c r="B9" s="4">
        <v>0</v>
      </c>
      <c r="C9" s="4">
        <v>6</v>
      </c>
      <c r="D9" s="24">
        <f>+C6+C9</f>
        <v>13</v>
      </c>
      <c r="F9" t="s">
        <v>54</v>
      </c>
      <c r="G9" s="12">
        <v>405</v>
      </c>
      <c r="H9" s="12">
        <f>+H29</f>
        <v>459.66</v>
      </c>
      <c r="I9">
        <v>9</v>
      </c>
      <c r="J9" s="133" t="s">
        <v>634</v>
      </c>
      <c r="L9" s="180"/>
      <c r="M9" s="180"/>
      <c r="N9" s="182"/>
      <c r="Q9" s="70" t="s">
        <v>170</v>
      </c>
    </row>
    <row r="10" spans="1:17" ht="15.6" x14ac:dyDescent="0.3">
      <c r="A10" s="1" t="s">
        <v>62</v>
      </c>
      <c r="B10" s="15">
        <f>+$G$30*B9</f>
        <v>0</v>
      </c>
      <c r="C10" s="15">
        <f>+$H$30*C9</f>
        <v>15660</v>
      </c>
      <c r="F10" s="10" t="s">
        <v>49</v>
      </c>
      <c r="G10" s="11">
        <f>+$G$6+G8+G9</f>
        <v>19714.379999999997</v>
      </c>
      <c r="H10" s="11">
        <f>+$H$6+H8+H9</f>
        <v>22768.789999999997</v>
      </c>
      <c r="I10">
        <v>10</v>
      </c>
      <c r="J10" s="76" t="s">
        <v>635</v>
      </c>
      <c r="L10" s="180"/>
      <c r="M10" s="182"/>
      <c r="N10" s="180"/>
    </row>
    <row r="11" spans="1:17" x14ac:dyDescent="0.3">
      <c r="A11" s="1" t="s">
        <v>67</v>
      </c>
      <c r="B11" s="15">
        <f>+$G$29*B9</f>
        <v>0</v>
      </c>
      <c r="C11" s="15">
        <f>+$H$29*C9</f>
        <v>2757.96</v>
      </c>
      <c r="I11">
        <v>11</v>
      </c>
      <c r="J11" s="76" t="s">
        <v>636</v>
      </c>
      <c r="L11" s="180"/>
      <c r="M11" s="180"/>
      <c r="N11" s="181"/>
    </row>
    <row r="12" spans="1:17" x14ac:dyDescent="0.3">
      <c r="F12" t="s">
        <v>50</v>
      </c>
      <c r="G12" s="9">
        <v>5800</v>
      </c>
      <c r="H12" s="9">
        <v>5220</v>
      </c>
      <c r="I12">
        <v>12</v>
      </c>
      <c r="J12" s="76" t="s">
        <v>372</v>
      </c>
      <c r="L12" s="183"/>
      <c r="M12" s="183"/>
      <c r="N12" s="184"/>
    </row>
    <row r="13" spans="1:17" x14ac:dyDescent="0.3">
      <c r="D13" s="18"/>
      <c r="F13" t="s">
        <v>54</v>
      </c>
      <c r="G13" s="12">
        <v>810</v>
      </c>
      <c r="H13" s="12">
        <f>+H29*2</f>
        <v>919.32</v>
      </c>
      <c r="I13">
        <v>13</v>
      </c>
      <c r="J13" s="133" t="s">
        <v>637</v>
      </c>
      <c r="M13" s="62"/>
      <c r="N13" s="176"/>
    </row>
    <row r="14" spans="1:17" ht="15.6" x14ac:dyDescent="0.3">
      <c r="F14" s="10" t="s">
        <v>49</v>
      </c>
      <c r="G14" s="11">
        <f>+$G$6+G12+G13</f>
        <v>23019.379999999997</v>
      </c>
      <c r="H14" s="11">
        <f>+$H$6+H12+H13</f>
        <v>25838.449999999997</v>
      </c>
      <c r="J14">
        <f>13*150</f>
        <v>1950</v>
      </c>
      <c r="M14" s="120"/>
    </row>
    <row r="15" spans="1:17" x14ac:dyDescent="0.3">
      <c r="A15" s="1" t="s">
        <v>68</v>
      </c>
      <c r="B15" s="15">
        <f>+B10+C10</f>
        <v>15660</v>
      </c>
      <c r="C15" s="14"/>
      <c r="M15" s="120"/>
    </row>
    <row r="16" spans="1:17" x14ac:dyDescent="0.3">
      <c r="A16" s="80" t="s">
        <v>66</v>
      </c>
      <c r="B16" s="81">
        <f>+B7+C7+B11+C11</f>
        <v>5975.58</v>
      </c>
      <c r="C16" s="21"/>
      <c r="D16" s="17"/>
      <c r="F16" t="s">
        <v>51</v>
      </c>
      <c r="G16" s="9">
        <v>8700</v>
      </c>
      <c r="H16" s="9">
        <v>7830</v>
      </c>
      <c r="M16" s="120"/>
    </row>
    <row r="17" spans="1:13" x14ac:dyDescent="0.3">
      <c r="F17" t="s">
        <v>54</v>
      </c>
      <c r="G17" s="12">
        <v>1215</v>
      </c>
      <c r="H17" s="12">
        <f>+H29*3</f>
        <v>1378.98</v>
      </c>
      <c r="J17" t="s">
        <v>212</v>
      </c>
      <c r="M17" s="120"/>
    </row>
    <row r="18" spans="1:13" ht="15.6" x14ac:dyDescent="0.3">
      <c r="A18" s="1" t="s">
        <v>69</v>
      </c>
      <c r="B18" s="248">
        <v>5600</v>
      </c>
      <c r="C18" t="s">
        <v>178</v>
      </c>
      <c r="F18" s="10" t="s">
        <v>49</v>
      </c>
      <c r="G18" s="11">
        <f>+$G$6+G16+G17</f>
        <v>26324.379999999997</v>
      </c>
      <c r="H18" s="11">
        <f>+$H$6+H16+H17</f>
        <v>28908.109999999997</v>
      </c>
      <c r="J18" s="153" t="s">
        <v>225</v>
      </c>
      <c r="K18" s="226">
        <v>1400</v>
      </c>
      <c r="M18" s="120"/>
    </row>
    <row r="19" spans="1:13" ht="15" thickBot="1" x14ac:dyDescent="0.35">
      <c r="J19" s="102" t="s">
        <v>232</v>
      </c>
      <c r="K19" s="226">
        <v>1400</v>
      </c>
      <c r="M19" s="120"/>
    </row>
    <row r="20" spans="1:13" ht="15" thickBot="1" x14ac:dyDescent="0.35">
      <c r="A20" s="146" t="s">
        <v>163</v>
      </c>
      <c r="B20" s="148">
        <f>D9*150</f>
        <v>1950</v>
      </c>
      <c r="C20" s="17" t="s">
        <v>165</v>
      </c>
      <c r="F20" t="s">
        <v>52</v>
      </c>
      <c r="G20" s="9">
        <v>11600</v>
      </c>
      <c r="H20" s="9">
        <v>10440</v>
      </c>
      <c r="J20" s="102" t="s">
        <v>231</v>
      </c>
      <c r="K20" s="107">
        <v>1400</v>
      </c>
      <c r="M20" s="120"/>
    </row>
    <row r="21" spans="1:13" x14ac:dyDescent="0.3">
      <c r="A21" s="144"/>
      <c r="B21" s="145"/>
      <c r="C21" t="s">
        <v>178</v>
      </c>
      <c r="F21" t="s">
        <v>54</v>
      </c>
      <c r="G21" s="12">
        <v>1620</v>
      </c>
      <c r="H21" s="12">
        <f>+H29*4</f>
        <v>1838.64</v>
      </c>
      <c r="J21" s="102" t="s">
        <v>228</v>
      </c>
      <c r="K21" s="226">
        <v>1400</v>
      </c>
      <c r="L21" s="185"/>
      <c r="M21" s="120"/>
    </row>
    <row r="22" spans="1:13" ht="15.6" x14ac:dyDescent="0.3">
      <c r="A22" s="140"/>
      <c r="B22" s="141"/>
      <c r="F22" s="10" t="s">
        <v>49</v>
      </c>
      <c r="G22" s="11">
        <f>+$G$6+G20+G21</f>
        <v>29629.379999999997</v>
      </c>
      <c r="H22" s="11">
        <f>+$H$6+H20+H21</f>
        <v>31977.769999999997</v>
      </c>
      <c r="L22" s="167"/>
    </row>
    <row r="23" spans="1:13" x14ac:dyDescent="0.3">
      <c r="A23" s="140"/>
      <c r="B23" s="141"/>
      <c r="C23" s="14"/>
      <c r="K23">
        <f>SUM(K18:K22)</f>
        <v>5600</v>
      </c>
      <c r="L23" s="166"/>
    </row>
    <row r="24" spans="1:13" ht="15" thickBot="1" x14ac:dyDescent="0.35">
      <c r="A24" s="142"/>
      <c r="B24" s="143"/>
      <c r="C24" s="88"/>
      <c r="F24" t="s">
        <v>53</v>
      </c>
      <c r="G24" s="9">
        <v>14500</v>
      </c>
      <c r="H24" s="9">
        <v>13050</v>
      </c>
      <c r="L24" s="183"/>
    </row>
    <row r="25" spans="1:13" ht="15" thickBot="1" x14ac:dyDescent="0.35">
      <c r="C25" s="90"/>
      <c r="F25" t="s">
        <v>54</v>
      </c>
      <c r="G25" s="12">
        <v>2025</v>
      </c>
      <c r="H25" s="12">
        <f>+H29*5</f>
        <v>2298.3000000000002</v>
      </c>
      <c r="L25" s="185"/>
    </row>
    <row r="26" spans="1:13" ht="16.2" thickBot="1" x14ac:dyDescent="0.35">
      <c r="A26" s="146" t="s">
        <v>164</v>
      </c>
      <c r="B26" s="147">
        <f>SUM(B27:B30)</f>
        <v>0</v>
      </c>
      <c r="C26" s="17" t="s">
        <v>165</v>
      </c>
      <c r="F26" s="10" t="s">
        <v>49</v>
      </c>
      <c r="G26" s="11">
        <f>+$G$6+G24+G25</f>
        <v>32934.379999999997</v>
      </c>
      <c r="H26" s="11">
        <f>+$H$6+H24+H25</f>
        <v>35047.43</v>
      </c>
      <c r="L26" s="186"/>
    </row>
    <row r="27" spans="1:13" x14ac:dyDescent="0.3">
      <c r="A27" s="144" t="s">
        <v>167</v>
      </c>
      <c r="B27" s="145"/>
      <c r="L27" s="186"/>
    </row>
    <row r="28" spans="1:13" x14ac:dyDescent="0.3">
      <c r="A28" s="140"/>
      <c r="B28" s="141"/>
      <c r="L28" s="186"/>
    </row>
    <row r="29" spans="1:13" x14ac:dyDescent="0.3">
      <c r="A29" s="140"/>
      <c r="B29" s="141"/>
      <c r="F29" t="s">
        <v>61</v>
      </c>
      <c r="G29" s="14">
        <v>405</v>
      </c>
      <c r="H29" s="14">
        <v>459.66</v>
      </c>
      <c r="L29" s="186"/>
    </row>
    <row r="30" spans="1:13" ht="15" thickBot="1" x14ac:dyDescent="0.35">
      <c r="A30" s="142"/>
      <c r="B30" s="143"/>
      <c r="F30" t="s">
        <v>64</v>
      </c>
      <c r="G30" s="14">
        <v>2900</v>
      </c>
      <c r="H30" s="14">
        <v>2610</v>
      </c>
      <c r="L30" s="186"/>
    </row>
    <row r="31" spans="1:13" x14ac:dyDescent="0.3">
      <c r="L31" s="185"/>
    </row>
    <row r="34" spans="8:8" x14ac:dyDescent="0.3">
      <c r="H34" s="14"/>
    </row>
  </sheetData>
  <mergeCells count="3">
    <mergeCell ref="A1:C1"/>
    <mergeCell ref="F1:H1"/>
    <mergeCell ref="B5:C5"/>
  </mergeCells>
  <pageMargins left="0.7" right="0.7" top="0.75" bottom="0.75" header="0.3" footer="0.3"/>
  <pageSetup paperSize="9" orientation="portrait" horizontalDpi="4294967293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A1C32-F486-4413-8043-CFEA751C6330}">
  <sheetPr>
    <tabColor rgb="FFFFFF00"/>
  </sheetPr>
  <dimension ref="A1:O44"/>
  <sheetViews>
    <sheetView workbookViewId="0">
      <selection activeCell="N24" sqref="N24"/>
    </sheetView>
  </sheetViews>
  <sheetFormatPr defaultColWidth="9.109375" defaultRowHeight="14.4" x14ac:dyDescent="0.3"/>
  <cols>
    <col min="1" max="1" width="51.5546875" bestFit="1" customWidth="1"/>
    <col min="2" max="2" width="14.5546875" customWidth="1"/>
    <col min="3" max="3" width="16.5546875" customWidth="1"/>
    <col min="6" max="6" width="21.5546875" bestFit="1" customWidth="1"/>
    <col min="7" max="7" width="15" hidden="1" customWidth="1"/>
    <col min="8" max="8" width="14.44140625" bestFit="1" customWidth="1"/>
    <col min="10" max="10" width="17.44140625" customWidth="1"/>
    <col min="11" max="11" width="10.109375" bestFit="1" customWidth="1"/>
  </cols>
  <sheetData>
    <row r="1" spans="1:14" ht="15" thickBot="1" x14ac:dyDescent="0.35">
      <c r="A1" s="303" t="s">
        <v>122</v>
      </c>
      <c r="B1" s="304"/>
      <c r="C1" s="304"/>
      <c r="F1" s="305" t="s">
        <v>60</v>
      </c>
      <c r="G1" s="306"/>
      <c r="H1" s="307"/>
      <c r="I1">
        <v>1</v>
      </c>
      <c r="J1" s="111" t="s">
        <v>638</v>
      </c>
    </row>
    <row r="2" spans="1:14" x14ac:dyDescent="0.3">
      <c r="I2">
        <v>2</v>
      </c>
      <c r="J2" s="111" t="s">
        <v>639</v>
      </c>
    </row>
    <row r="3" spans="1:14" ht="15.6" x14ac:dyDescent="0.3">
      <c r="B3" s="13" t="s">
        <v>56</v>
      </c>
      <c r="C3" s="13" t="s">
        <v>57</v>
      </c>
      <c r="G3" s="13" t="s">
        <v>56</v>
      </c>
      <c r="H3" s="13" t="s">
        <v>57</v>
      </c>
      <c r="I3">
        <v>3</v>
      </c>
      <c r="J3" s="133" t="s">
        <v>640</v>
      </c>
      <c r="K3" s="16"/>
    </row>
    <row r="4" spans="1:14" x14ac:dyDescent="0.3">
      <c r="F4" t="s">
        <v>46</v>
      </c>
      <c r="G4" s="8">
        <v>13574.38</v>
      </c>
      <c r="H4" s="9">
        <v>16481.580000000002</v>
      </c>
      <c r="I4">
        <v>4</v>
      </c>
      <c r="J4" s="133" t="s">
        <v>641</v>
      </c>
    </row>
    <row r="5" spans="1:14" x14ac:dyDescent="0.3">
      <c r="A5" s="1" t="s">
        <v>58</v>
      </c>
      <c r="B5" s="308">
        <f>+H4</f>
        <v>16481.580000000002</v>
      </c>
      <c r="C5" s="308"/>
      <c r="F5" t="s">
        <v>55</v>
      </c>
      <c r="G5" s="8">
        <v>2835</v>
      </c>
      <c r="H5" s="8">
        <f>+H29*7</f>
        <v>3217.6200000000003</v>
      </c>
      <c r="I5">
        <v>5</v>
      </c>
      <c r="J5" s="133" t="s">
        <v>642</v>
      </c>
    </row>
    <row r="6" spans="1:14" ht="15.6" x14ac:dyDescent="0.3">
      <c r="A6" s="1" t="s">
        <v>65</v>
      </c>
      <c r="B6" s="4"/>
      <c r="C6" s="26">
        <v>7</v>
      </c>
      <c r="F6" s="10" t="s">
        <v>47</v>
      </c>
      <c r="G6" s="11">
        <f>SUM(G4:G5)</f>
        <v>16409.379999999997</v>
      </c>
      <c r="H6" s="11">
        <f>SUM(H4:H5)</f>
        <v>19699.2</v>
      </c>
      <c r="I6">
        <v>6</v>
      </c>
      <c r="J6" s="133" t="s">
        <v>643</v>
      </c>
      <c r="K6" s="174"/>
      <c r="L6" s="174"/>
      <c r="M6" s="174"/>
    </row>
    <row r="7" spans="1:14" x14ac:dyDescent="0.3">
      <c r="A7" s="1" t="s">
        <v>59</v>
      </c>
      <c r="B7" s="15">
        <f>+$G$29*B6</f>
        <v>0</v>
      </c>
      <c r="C7" s="15">
        <f>+H5</f>
        <v>3217.6200000000003</v>
      </c>
      <c r="I7">
        <v>7</v>
      </c>
      <c r="J7" s="76" t="s">
        <v>644</v>
      </c>
      <c r="K7" s="169"/>
    </row>
    <row r="8" spans="1:14" ht="20.399999999999999" x14ac:dyDescent="0.3">
      <c r="F8" t="s">
        <v>48</v>
      </c>
      <c r="G8" s="9">
        <v>2900</v>
      </c>
      <c r="H8" s="9">
        <v>2610</v>
      </c>
      <c r="I8">
        <v>8</v>
      </c>
      <c r="J8" s="232" t="s">
        <v>346</v>
      </c>
      <c r="K8" s="169"/>
    </row>
    <row r="9" spans="1:14" x14ac:dyDescent="0.3">
      <c r="A9" s="1" t="s">
        <v>63</v>
      </c>
      <c r="B9" s="4"/>
      <c r="C9" s="4">
        <v>5</v>
      </c>
      <c r="D9" s="24">
        <f>+C6+C9</f>
        <v>12</v>
      </c>
      <c r="F9" t="s">
        <v>54</v>
      </c>
      <c r="G9" s="12">
        <v>405</v>
      </c>
      <c r="H9" s="12">
        <f>+H29</f>
        <v>459.66</v>
      </c>
      <c r="J9" s="65" t="s">
        <v>347</v>
      </c>
      <c r="K9" s="173"/>
      <c r="N9" s="70" t="s">
        <v>169</v>
      </c>
    </row>
    <row r="10" spans="1:14" ht="15.6" x14ac:dyDescent="0.3">
      <c r="A10" s="1" t="s">
        <v>62</v>
      </c>
      <c r="B10" s="15">
        <f>+$G$30*B9</f>
        <v>0</v>
      </c>
      <c r="C10" s="15">
        <f>+$H$30*C9</f>
        <v>13050</v>
      </c>
      <c r="D10" s="18"/>
      <c r="F10" s="10" t="s">
        <v>49</v>
      </c>
      <c r="G10" s="11">
        <f>+$G$6+G8+G9</f>
        <v>19714.379999999997</v>
      </c>
      <c r="H10" s="11">
        <f>+$H$6+H8+H9</f>
        <v>22768.86</v>
      </c>
      <c r="I10">
        <v>9</v>
      </c>
      <c r="J10" s="65" t="s">
        <v>348</v>
      </c>
      <c r="K10" s="172"/>
      <c r="N10" s="70" t="s">
        <v>170</v>
      </c>
    </row>
    <row r="11" spans="1:14" x14ac:dyDescent="0.3">
      <c r="A11" s="1" t="s">
        <v>67</v>
      </c>
      <c r="B11" s="15">
        <f>+$G$29*B9</f>
        <v>0</v>
      </c>
      <c r="C11" s="15">
        <f>+$H$29*C9</f>
        <v>2298.3000000000002</v>
      </c>
      <c r="J11" s="65" t="s">
        <v>349</v>
      </c>
      <c r="K11" s="175"/>
    </row>
    <row r="12" spans="1:14" x14ac:dyDescent="0.3">
      <c r="F12" t="s">
        <v>50</v>
      </c>
      <c r="G12" s="9">
        <v>5800</v>
      </c>
      <c r="H12" s="9">
        <v>5220</v>
      </c>
      <c r="I12">
        <v>10</v>
      </c>
      <c r="J12" s="133" t="s">
        <v>645</v>
      </c>
      <c r="K12" s="178"/>
    </row>
    <row r="13" spans="1:14" x14ac:dyDescent="0.3">
      <c r="F13" t="s">
        <v>54</v>
      </c>
      <c r="G13" s="12">
        <v>810</v>
      </c>
      <c r="H13" s="12">
        <f>+H29*2</f>
        <v>919.32</v>
      </c>
      <c r="I13">
        <v>11</v>
      </c>
      <c r="J13" s="133" t="s">
        <v>565</v>
      </c>
      <c r="K13" s="178"/>
    </row>
    <row r="14" spans="1:14" ht="15.6" x14ac:dyDescent="0.3">
      <c r="F14" s="10" t="s">
        <v>49</v>
      </c>
      <c r="G14" s="11">
        <f>+$G$6+G12+G13</f>
        <v>23019.379999999997</v>
      </c>
      <c r="H14" s="11">
        <f>+$H$6+H12+H13</f>
        <v>25838.52</v>
      </c>
      <c r="I14">
        <v>12</v>
      </c>
      <c r="J14" s="76" t="s">
        <v>565</v>
      </c>
    </row>
    <row r="15" spans="1:14" x14ac:dyDescent="0.3">
      <c r="A15" s="1" t="s">
        <v>68</v>
      </c>
      <c r="B15" s="15">
        <f>+B10+C10</f>
        <v>13050</v>
      </c>
      <c r="J15">
        <f>12*150</f>
        <v>1800</v>
      </c>
    </row>
    <row r="16" spans="1:14" x14ac:dyDescent="0.3">
      <c r="A16" s="80" t="s">
        <v>66</v>
      </c>
      <c r="B16" s="81">
        <f>B7+C7+B11+C11</f>
        <v>5515.92</v>
      </c>
      <c r="C16" s="18"/>
      <c r="D16" s="18"/>
      <c r="F16" t="s">
        <v>51</v>
      </c>
      <c r="G16" s="9">
        <v>8700</v>
      </c>
      <c r="H16" s="9">
        <v>7830</v>
      </c>
    </row>
    <row r="17" spans="1:15" x14ac:dyDescent="0.3">
      <c r="C17" s="14"/>
      <c r="F17" t="s">
        <v>54</v>
      </c>
      <c r="G17" s="12">
        <v>1215</v>
      </c>
      <c r="H17" s="12">
        <f>+H29*3</f>
        <v>1378.98</v>
      </c>
    </row>
    <row r="18" spans="1:15" ht="15.6" x14ac:dyDescent="0.3">
      <c r="A18" s="1" t="s">
        <v>69</v>
      </c>
      <c r="B18" s="248">
        <v>5600</v>
      </c>
      <c r="C18" t="s">
        <v>178</v>
      </c>
      <c r="F18" s="10" t="s">
        <v>49</v>
      </c>
      <c r="G18" s="11">
        <f>+$G$6+G16+G17</f>
        <v>26324.379999999997</v>
      </c>
      <c r="H18" s="11">
        <f>+$H$6+H16+H17</f>
        <v>28908.18</v>
      </c>
    </row>
    <row r="19" spans="1:15" ht="15" thickBot="1" x14ac:dyDescent="0.35"/>
    <row r="20" spans="1:15" ht="15" customHeight="1" thickBot="1" x14ac:dyDescent="0.35">
      <c r="A20" s="146" t="s">
        <v>163</v>
      </c>
      <c r="B20" s="148">
        <f>D9*150</f>
        <v>1800</v>
      </c>
      <c r="C20" s="17" t="s">
        <v>165</v>
      </c>
      <c r="D20" s="58"/>
      <c r="E20" s="58"/>
      <c r="F20" t="s">
        <v>52</v>
      </c>
      <c r="G20" s="9">
        <v>11600</v>
      </c>
      <c r="H20" s="9">
        <v>10440</v>
      </c>
      <c r="J20" s="166"/>
    </row>
    <row r="21" spans="1:15" x14ac:dyDescent="0.3">
      <c r="A21" s="144"/>
      <c r="B21" s="145"/>
      <c r="C21" t="s">
        <v>529</v>
      </c>
      <c r="D21" s="58"/>
      <c r="F21" t="s">
        <v>54</v>
      </c>
      <c r="G21" s="12">
        <v>1620</v>
      </c>
      <c r="H21" s="12">
        <f>+H29*4</f>
        <v>1838.64</v>
      </c>
      <c r="J21" s="166"/>
    </row>
    <row r="22" spans="1:15" ht="15.6" x14ac:dyDescent="0.3">
      <c r="A22" s="140"/>
      <c r="B22" s="141"/>
      <c r="F22" s="10" t="s">
        <v>49</v>
      </c>
      <c r="G22" s="11">
        <f>+$G$6+G20+G21</f>
        <v>29629.379999999997</v>
      </c>
      <c r="H22" s="11">
        <f>+$H$6+H20+H21</f>
        <v>31977.84</v>
      </c>
      <c r="J22" s="166"/>
      <c r="O22" s="14"/>
    </row>
    <row r="23" spans="1:15" x14ac:dyDescent="0.3">
      <c r="A23" s="140"/>
      <c r="B23" s="141"/>
      <c r="C23" s="14"/>
      <c r="J23" s="168"/>
    </row>
    <row r="24" spans="1:15" ht="15" thickBot="1" x14ac:dyDescent="0.35">
      <c r="A24" s="142"/>
      <c r="B24" s="143"/>
      <c r="C24" s="88"/>
      <c r="F24" t="s">
        <v>53</v>
      </c>
      <c r="G24" s="9">
        <v>14500</v>
      </c>
      <c r="H24" s="9">
        <v>13050</v>
      </c>
      <c r="J24" s="168"/>
    </row>
    <row r="25" spans="1:15" ht="15" thickBot="1" x14ac:dyDescent="0.35">
      <c r="C25" s="90"/>
      <c r="F25" t="s">
        <v>54</v>
      </c>
      <c r="G25" s="12">
        <v>2025</v>
      </c>
      <c r="H25" s="12">
        <f>+H29*5</f>
        <v>2298.3000000000002</v>
      </c>
      <c r="J25" s="84" t="s">
        <v>212</v>
      </c>
    </row>
    <row r="26" spans="1:15" ht="16.2" thickBot="1" x14ac:dyDescent="0.35">
      <c r="A26" s="146" t="s">
        <v>164</v>
      </c>
      <c r="B26" s="147">
        <f>SUM(B27:B30)</f>
        <v>0</v>
      </c>
      <c r="C26" s="17" t="s">
        <v>165</v>
      </c>
      <c r="F26" s="10" t="s">
        <v>49</v>
      </c>
      <c r="G26" s="11">
        <f>+$G$6+G24+G25</f>
        <v>32934.379999999997</v>
      </c>
      <c r="H26" s="11">
        <f>+$H$6+H24+H25</f>
        <v>35047.5</v>
      </c>
      <c r="J26" s="153" t="s">
        <v>221</v>
      </c>
      <c r="K26" s="226">
        <v>1400</v>
      </c>
    </row>
    <row r="27" spans="1:15" ht="15.6" x14ac:dyDescent="0.3">
      <c r="A27" s="144"/>
      <c r="B27" s="145"/>
      <c r="C27" s="19"/>
      <c r="J27" s="102" t="s">
        <v>232</v>
      </c>
      <c r="K27" s="226">
        <v>1400</v>
      </c>
    </row>
    <row r="28" spans="1:15" ht="15.6" x14ac:dyDescent="0.3">
      <c r="A28" s="140"/>
      <c r="B28" s="141"/>
      <c r="C28" s="19"/>
      <c r="J28" s="102" t="s">
        <v>231</v>
      </c>
      <c r="K28" s="107">
        <v>1400</v>
      </c>
    </row>
    <row r="29" spans="1:15" x14ac:dyDescent="0.3">
      <c r="A29" s="140"/>
      <c r="B29" s="141"/>
      <c r="F29" t="s">
        <v>61</v>
      </c>
      <c r="G29" s="14">
        <v>405</v>
      </c>
      <c r="H29" s="14">
        <v>459.66</v>
      </c>
      <c r="J29" s="102" t="s">
        <v>228</v>
      </c>
      <c r="K29" s="226">
        <v>1400</v>
      </c>
    </row>
    <row r="30" spans="1:15" ht="15" thickBot="1" x14ac:dyDescent="0.35">
      <c r="A30" s="142"/>
      <c r="B30" s="143"/>
      <c r="F30" t="s">
        <v>64</v>
      </c>
      <c r="G30" s="14">
        <v>2900</v>
      </c>
      <c r="H30" s="14">
        <v>2610</v>
      </c>
      <c r="J30" s="166"/>
      <c r="K30">
        <f>SUM(K26:K29)</f>
        <v>5600</v>
      </c>
    </row>
    <row r="31" spans="1:15" ht="15.6" x14ac:dyDescent="0.3">
      <c r="A31" s="25"/>
    </row>
    <row r="32" spans="1:15" ht="15.6" x14ac:dyDescent="0.3">
      <c r="A32" s="73"/>
    </row>
    <row r="33" spans="1:1" x14ac:dyDescent="0.3">
      <c r="A33" s="67"/>
    </row>
    <row r="34" spans="1:1" x14ac:dyDescent="0.3">
      <c r="A34" s="67"/>
    </row>
    <row r="35" spans="1:1" x14ac:dyDescent="0.3">
      <c r="A35" s="67"/>
    </row>
    <row r="36" spans="1:1" x14ac:dyDescent="0.3">
      <c r="A36" s="67"/>
    </row>
    <row r="37" spans="1:1" x14ac:dyDescent="0.3">
      <c r="A37" s="67"/>
    </row>
    <row r="38" spans="1:1" x14ac:dyDescent="0.3">
      <c r="A38" s="67"/>
    </row>
    <row r="39" spans="1:1" x14ac:dyDescent="0.3">
      <c r="A39" s="67"/>
    </row>
    <row r="40" spans="1:1" x14ac:dyDescent="0.3">
      <c r="A40" s="67"/>
    </row>
    <row r="41" spans="1:1" x14ac:dyDescent="0.3">
      <c r="A41" s="67"/>
    </row>
    <row r="42" spans="1:1" x14ac:dyDescent="0.3">
      <c r="A42" s="67"/>
    </row>
    <row r="43" spans="1:1" x14ac:dyDescent="0.3">
      <c r="A43" s="67"/>
    </row>
    <row r="44" spans="1:1" x14ac:dyDescent="0.3">
      <c r="A44" s="68"/>
    </row>
  </sheetData>
  <mergeCells count="3">
    <mergeCell ref="A1:C1"/>
    <mergeCell ref="F1:H1"/>
    <mergeCell ref="B5:C5"/>
  </mergeCells>
  <pageMargins left="0.7" right="0.7" top="0.75" bottom="0.75" header="0.3" footer="0.3"/>
  <pageSetup paperSize="9" orientation="portrait" horizontalDpi="4294967293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D1163-FDF1-43E4-853E-AD6207915E18}">
  <sheetPr>
    <tabColor rgb="FFFFFF00"/>
  </sheetPr>
  <dimension ref="A1:Q39"/>
  <sheetViews>
    <sheetView zoomScaleNormal="100" workbookViewId="0">
      <selection activeCell="B27" sqref="B27"/>
    </sheetView>
  </sheetViews>
  <sheetFormatPr defaultColWidth="9.109375" defaultRowHeight="14.4" x14ac:dyDescent="0.3"/>
  <cols>
    <col min="1" max="1" width="51.5546875" bestFit="1" customWidth="1"/>
    <col min="2" max="2" width="14.5546875" customWidth="1"/>
    <col min="3" max="3" width="19.5546875" customWidth="1"/>
    <col min="5" max="5" width="24.6640625" customWidth="1"/>
    <col min="6" max="6" width="21.5546875" bestFit="1" customWidth="1"/>
    <col min="7" max="7" width="0.88671875" customWidth="1"/>
    <col min="8" max="8" width="14.44140625" bestFit="1" customWidth="1"/>
    <col min="10" max="10" width="17.109375" customWidth="1"/>
  </cols>
  <sheetData>
    <row r="1" spans="1:13" ht="15" thickBot="1" x14ac:dyDescent="0.35">
      <c r="A1" s="303" t="s">
        <v>144</v>
      </c>
      <c r="B1" s="304"/>
      <c r="C1" s="304"/>
      <c r="F1" s="305" t="s">
        <v>60</v>
      </c>
      <c r="G1" s="306"/>
      <c r="H1" s="307"/>
      <c r="I1">
        <v>1</v>
      </c>
      <c r="J1" s="76" t="s">
        <v>646</v>
      </c>
    </row>
    <row r="2" spans="1:13" x14ac:dyDescent="0.3">
      <c r="I2">
        <v>2</v>
      </c>
      <c r="J2" s="133" t="s">
        <v>647</v>
      </c>
    </row>
    <row r="3" spans="1:13" ht="15.6" x14ac:dyDescent="0.3">
      <c r="B3" s="13" t="s">
        <v>56</v>
      </c>
      <c r="C3" s="13" t="s">
        <v>57</v>
      </c>
      <c r="G3" s="13" t="s">
        <v>56</v>
      </c>
      <c r="H3" s="13" t="s">
        <v>57</v>
      </c>
      <c r="I3">
        <v>3</v>
      </c>
      <c r="J3" s="133" t="s">
        <v>648</v>
      </c>
      <c r="K3" s="16"/>
    </row>
    <row r="4" spans="1:13" x14ac:dyDescent="0.3">
      <c r="E4" s="18"/>
      <c r="F4" t="s">
        <v>46</v>
      </c>
      <c r="G4" s="8">
        <v>13574.38</v>
      </c>
      <c r="H4" s="9">
        <v>16481.55</v>
      </c>
      <c r="I4">
        <v>4</v>
      </c>
      <c r="J4" s="133" t="s">
        <v>649</v>
      </c>
    </row>
    <row r="5" spans="1:13" x14ac:dyDescent="0.3">
      <c r="A5" s="1" t="s">
        <v>58</v>
      </c>
      <c r="B5" s="308">
        <f>+H4</f>
        <v>16481.55</v>
      </c>
      <c r="C5" s="308"/>
      <c r="D5" s="14"/>
      <c r="E5" s="105"/>
      <c r="F5" t="s">
        <v>55</v>
      </c>
      <c r="G5" s="8">
        <v>2835</v>
      </c>
      <c r="H5" s="8">
        <f>+H30*7</f>
        <v>3217.6200000000003</v>
      </c>
      <c r="I5">
        <v>5</v>
      </c>
      <c r="J5" s="133" t="s">
        <v>650</v>
      </c>
      <c r="K5" s="206"/>
    </row>
    <row r="6" spans="1:13" ht="15.6" x14ac:dyDescent="0.3">
      <c r="A6" s="1" t="s">
        <v>65</v>
      </c>
      <c r="B6" s="4"/>
      <c r="C6" s="26">
        <v>7</v>
      </c>
      <c r="E6" s="18"/>
      <c r="F6" s="10" t="s">
        <v>47</v>
      </c>
      <c r="G6" s="11">
        <f>SUM(G4:G5)</f>
        <v>16409.379999999997</v>
      </c>
      <c r="H6" s="11">
        <f>SUM(H4:H5)</f>
        <v>19699.169999999998</v>
      </c>
      <c r="I6">
        <v>6</v>
      </c>
      <c r="J6" s="133" t="s">
        <v>651</v>
      </c>
      <c r="K6" s="172"/>
    </row>
    <row r="7" spans="1:13" x14ac:dyDescent="0.3">
      <c r="A7" s="1" t="s">
        <v>59</v>
      </c>
      <c r="B7" s="15">
        <f>+$G$30*B6</f>
        <v>0</v>
      </c>
      <c r="C7" s="15">
        <f>+H5</f>
        <v>3217.6200000000003</v>
      </c>
      <c r="D7" s="14"/>
      <c r="E7" s="104"/>
      <c r="I7">
        <v>7</v>
      </c>
      <c r="J7" s="133" t="s">
        <v>652</v>
      </c>
      <c r="K7" s="169"/>
    </row>
    <row r="8" spans="1:13" x14ac:dyDescent="0.3">
      <c r="E8" s="20"/>
      <c r="F8" t="s">
        <v>48</v>
      </c>
      <c r="G8" s="9">
        <v>2900</v>
      </c>
      <c r="H8" s="9">
        <v>2610</v>
      </c>
      <c r="I8">
        <v>8</v>
      </c>
      <c r="J8" s="76" t="s">
        <v>653</v>
      </c>
      <c r="K8" s="173"/>
    </row>
    <row r="9" spans="1:13" x14ac:dyDescent="0.3">
      <c r="A9" s="1" t="s">
        <v>63</v>
      </c>
      <c r="B9" s="4">
        <v>0</v>
      </c>
      <c r="C9" s="4">
        <v>5</v>
      </c>
      <c r="D9" s="24">
        <f>+C6+C9</f>
        <v>12</v>
      </c>
      <c r="E9" s="18"/>
      <c r="F9" t="s">
        <v>54</v>
      </c>
      <c r="G9" s="12">
        <v>405</v>
      </c>
      <c r="H9" s="12">
        <f>+H30</f>
        <v>459.66</v>
      </c>
      <c r="I9">
        <v>9</v>
      </c>
      <c r="J9" s="133" t="s">
        <v>654</v>
      </c>
      <c r="K9" s="172"/>
    </row>
    <row r="10" spans="1:13" ht="15.6" x14ac:dyDescent="0.3">
      <c r="A10" s="1" t="s">
        <v>62</v>
      </c>
      <c r="B10" s="15">
        <f>+$G$31*B9</f>
        <v>0</v>
      </c>
      <c r="C10" s="15">
        <f>+$H$31*C9</f>
        <v>13050</v>
      </c>
      <c r="F10" s="10" t="s">
        <v>49</v>
      </c>
      <c r="G10" s="11">
        <f>+$G$6+G8+G9</f>
        <v>19714.379999999997</v>
      </c>
      <c r="H10" s="11">
        <f>+$H$6+H8+H9</f>
        <v>22768.829999999998</v>
      </c>
      <c r="I10">
        <v>10</v>
      </c>
      <c r="J10" s="76" t="s">
        <v>655</v>
      </c>
      <c r="K10" s="175"/>
    </row>
    <row r="11" spans="1:13" x14ac:dyDescent="0.3">
      <c r="A11" s="1" t="s">
        <v>67</v>
      </c>
      <c r="B11" s="15">
        <f>+$G$30*B9</f>
        <v>0</v>
      </c>
      <c r="C11" s="15">
        <f>+$H$30*C9</f>
        <v>2298.3000000000002</v>
      </c>
      <c r="I11">
        <v>11</v>
      </c>
      <c r="J11" s="133" t="s">
        <v>656</v>
      </c>
      <c r="M11" s="70" t="s">
        <v>169</v>
      </c>
    </row>
    <row r="12" spans="1:13" x14ac:dyDescent="0.3">
      <c r="F12" t="s">
        <v>50</v>
      </c>
      <c r="G12" s="9">
        <v>5800</v>
      </c>
      <c r="H12" s="9">
        <v>5220</v>
      </c>
      <c r="I12">
        <v>12</v>
      </c>
      <c r="J12" s="133" t="s">
        <v>372</v>
      </c>
      <c r="M12" s="70" t="s">
        <v>170</v>
      </c>
    </row>
    <row r="13" spans="1:13" x14ac:dyDescent="0.3">
      <c r="D13" s="18"/>
      <c r="F13" t="s">
        <v>54</v>
      </c>
      <c r="G13" s="12">
        <v>810</v>
      </c>
      <c r="H13" s="12">
        <f>+H30*2</f>
        <v>919.32</v>
      </c>
      <c r="J13" s="207">
        <f>12*150</f>
        <v>1800</v>
      </c>
    </row>
    <row r="14" spans="1:13" ht="15.6" x14ac:dyDescent="0.3">
      <c r="F14" s="10" t="s">
        <v>49</v>
      </c>
      <c r="G14" s="11">
        <f>+$G$6+G12+G13</f>
        <v>23019.379999999997</v>
      </c>
      <c r="H14" s="11">
        <f>+$H$6+H12+H13</f>
        <v>25838.489999999998</v>
      </c>
      <c r="J14" s="207"/>
    </row>
    <row r="15" spans="1:13" x14ac:dyDescent="0.3">
      <c r="A15" s="1" t="s">
        <v>68</v>
      </c>
      <c r="B15" s="15">
        <f>+B10+C10</f>
        <v>13050</v>
      </c>
      <c r="C15" s="20"/>
      <c r="D15" s="14"/>
      <c r="J15" s="207"/>
    </row>
    <row r="16" spans="1:13" x14ac:dyDescent="0.3">
      <c r="A16" s="80" t="s">
        <v>66</v>
      </c>
      <c r="B16" s="81">
        <f>C11+B11+B7+C7</f>
        <v>5515.92</v>
      </c>
      <c r="C16" s="21"/>
      <c r="D16" s="17"/>
      <c r="F16" t="s">
        <v>51</v>
      </c>
      <c r="G16" s="9">
        <v>8700</v>
      </c>
      <c r="H16" s="9">
        <v>7830</v>
      </c>
      <c r="J16" s="207"/>
    </row>
    <row r="17" spans="1:17" x14ac:dyDescent="0.3">
      <c r="F17" t="s">
        <v>54</v>
      </c>
      <c r="G17" s="12">
        <v>1215</v>
      </c>
      <c r="H17" s="12">
        <f>+H30*3</f>
        <v>1378.98</v>
      </c>
      <c r="J17" s="209" t="s">
        <v>230</v>
      </c>
    </row>
    <row r="18" spans="1:17" ht="15.6" x14ac:dyDescent="0.3">
      <c r="A18" s="1" t="s">
        <v>69</v>
      </c>
      <c r="B18" s="248">
        <v>5600</v>
      </c>
      <c r="C18" t="s">
        <v>233</v>
      </c>
      <c r="F18" s="10" t="s">
        <v>49</v>
      </c>
      <c r="G18" s="11">
        <f>+$G$6+G16+G17</f>
        <v>26324.379999999997</v>
      </c>
      <c r="H18" s="11">
        <f>+$H$6+H16+H17</f>
        <v>28908.149999999998</v>
      </c>
      <c r="J18" s="153" t="s">
        <v>221</v>
      </c>
      <c r="K18" s="226">
        <v>1400</v>
      </c>
    </row>
    <row r="19" spans="1:17" ht="16.2" thickBot="1" x14ac:dyDescent="0.35">
      <c r="A19" s="1"/>
      <c r="B19" s="1"/>
      <c r="F19" s="10"/>
      <c r="G19" s="11"/>
      <c r="H19" s="11"/>
      <c r="J19" s="102" t="s">
        <v>232</v>
      </c>
      <c r="K19" s="226">
        <v>1400</v>
      </c>
    </row>
    <row r="20" spans="1:17" ht="15" thickBot="1" x14ac:dyDescent="0.35">
      <c r="A20" s="146" t="s">
        <v>163</v>
      </c>
      <c r="B20" s="148">
        <f>D9*150</f>
        <v>1800</v>
      </c>
      <c r="C20" s="17" t="s">
        <v>165</v>
      </c>
      <c r="J20" s="102" t="s">
        <v>231</v>
      </c>
      <c r="K20" s="107">
        <v>1400</v>
      </c>
    </row>
    <row r="21" spans="1:17" x14ac:dyDescent="0.3">
      <c r="A21" s="144"/>
      <c r="B21" s="145"/>
      <c r="C21" t="s">
        <v>178</v>
      </c>
      <c r="F21" t="s">
        <v>52</v>
      </c>
      <c r="G21" s="9">
        <v>11600</v>
      </c>
      <c r="H21" s="9">
        <v>10440</v>
      </c>
      <c r="J21" s="102" t="s">
        <v>228</v>
      </c>
      <c r="K21" s="226">
        <v>1400</v>
      </c>
    </row>
    <row r="22" spans="1:17" x14ac:dyDescent="0.3">
      <c r="A22" s="140"/>
      <c r="B22" s="141"/>
      <c r="F22" t="s">
        <v>54</v>
      </c>
      <c r="G22" s="12">
        <v>1620</v>
      </c>
      <c r="H22" s="12">
        <f>+H30*4</f>
        <v>1838.64</v>
      </c>
      <c r="J22" s="207"/>
      <c r="K22">
        <f>SUM(K18:K21)</f>
        <v>5600</v>
      </c>
    </row>
    <row r="23" spans="1:17" ht="15.6" x14ac:dyDescent="0.3">
      <c r="A23" s="140"/>
      <c r="B23" s="141"/>
      <c r="C23" s="14"/>
      <c r="F23" s="10" t="s">
        <v>49</v>
      </c>
      <c r="G23" s="11">
        <f>+$G$6+G21+G22</f>
        <v>29629.379999999997</v>
      </c>
      <c r="H23" s="11">
        <f>+$H$6+H21+H22</f>
        <v>31977.809999999998</v>
      </c>
      <c r="J23" s="209"/>
    </row>
    <row r="24" spans="1:17" ht="15" thickBot="1" x14ac:dyDescent="0.35">
      <c r="A24" s="142"/>
      <c r="B24" s="143"/>
      <c r="C24" s="88"/>
      <c r="J24" s="277" t="s">
        <v>265</v>
      </c>
      <c r="K24" s="247"/>
      <c r="L24" s="247"/>
      <c r="M24" s="247"/>
      <c r="N24" s="247"/>
      <c r="O24" s="247"/>
      <c r="P24" s="247"/>
      <c r="Q24" s="247"/>
    </row>
    <row r="25" spans="1:17" ht="15" thickBot="1" x14ac:dyDescent="0.35">
      <c r="C25" s="90"/>
      <c r="D25" s="89"/>
      <c r="E25" s="88"/>
      <c r="F25" t="s">
        <v>53</v>
      </c>
      <c r="G25" s="9">
        <v>14500</v>
      </c>
      <c r="H25" s="9">
        <v>13050</v>
      </c>
      <c r="J25" s="261" t="s">
        <v>286</v>
      </c>
      <c r="K25" s="278"/>
      <c r="L25" s="261" t="s">
        <v>257</v>
      </c>
      <c r="M25" s="261">
        <v>36.1</v>
      </c>
      <c r="N25" s="262" t="s">
        <v>323</v>
      </c>
      <c r="O25" s="261" t="s">
        <v>324</v>
      </c>
      <c r="P25" s="261" t="s">
        <v>261</v>
      </c>
      <c r="Q25" s="24">
        <v>200</v>
      </c>
    </row>
    <row r="26" spans="1:17" ht="15" thickBot="1" x14ac:dyDescent="0.35">
      <c r="A26" s="146" t="s">
        <v>164</v>
      </c>
      <c r="B26" s="147">
        <f>SUM(B27:B30)</f>
        <v>400</v>
      </c>
      <c r="C26" s="17" t="s">
        <v>165</v>
      </c>
      <c r="D26" s="90"/>
      <c r="E26" s="90"/>
      <c r="F26" t="s">
        <v>54</v>
      </c>
      <c r="G26" s="12">
        <v>2025</v>
      </c>
      <c r="H26" s="12">
        <f>+H30*5</f>
        <v>2298.3000000000002</v>
      </c>
      <c r="J26" s="261" t="s">
        <v>262</v>
      </c>
      <c r="K26" s="261"/>
      <c r="L26" s="261"/>
      <c r="M26" s="261"/>
      <c r="N26" s="261" t="s">
        <v>323</v>
      </c>
      <c r="O26" s="261" t="s">
        <v>324</v>
      </c>
      <c r="P26" s="247"/>
      <c r="Q26" s="24">
        <v>200</v>
      </c>
    </row>
    <row r="27" spans="1:17" ht="15.6" x14ac:dyDescent="0.3">
      <c r="A27" s="144" t="s">
        <v>255</v>
      </c>
      <c r="B27" s="283">
        <v>200</v>
      </c>
      <c r="C27" s="90" t="s">
        <v>178</v>
      </c>
      <c r="D27" s="90"/>
      <c r="E27" s="90"/>
      <c r="F27" s="10" t="s">
        <v>49</v>
      </c>
      <c r="G27" s="11">
        <f>+$G$6+G25+G26</f>
        <v>32934.379999999997</v>
      </c>
      <c r="H27" s="11">
        <f>+$H$6+H25+H26</f>
        <v>35047.47</v>
      </c>
      <c r="J27" s="247"/>
      <c r="K27" s="247"/>
      <c r="L27" s="247"/>
      <c r="M27" s="247"/>
      <c r="N27" s="247"/>
      <c r="O27" s="247"/>
      <c r="P27" s="247"/>
      <c r="Q27" s="269">
        <f>SUM(Q25:Q26)</f>
        <v>400</v>
      </c>
    </row>
    <row r="28" spans="1:17" x14ac:dyDescent="0.3">
      <c r="A28" s="140" t="s">
        <v>258</v>
      </c>
      <c r="B28" s="287">
        <v>200</v>
      </c>
      <c r="C28" t="s">
        <v>178</v>
      </c>
    </row>
    <row r="29" spans="1:17" x14ac:dyDescent="0.3">
      <c r="A29" s="140"/>
      <c r="B29" s="141"/>
    </row>
    <row r="30" spans="1:17" ht="15" thickBot="1" x14ac:dyDescent="0.35">
      <c r="A30" s="142"/>
      <c r="B30" s="143"/>
      <c r="F30" t="s">
        <v>61</v>
      </c>
      <c r="G30" s="14">
        <v>405</v>
      </c>
      <c r="H30" s="14">
        <v>459.66</v>
      </c>
    </row>
    <row r="31" spans="1:17" x14ac:dyDescent="0.3">
      <c r="A31" s="88"/>
      <c r="B31" s="90"/>
      <c r="F31" t="s">
        <v>64</v>
      </c>
      <c r="G31" s="14">
        <v>2900</v>
      </c>
      <c r="H31" s="14">
        <v>2610</v>
      </c>
    </row>
    <row r="32" spans="1:17" x14ac:dyDescent="0.3">
      <c r="A32" s="88"/>
      <c r="B32" s="90"/>
    </row>
    <row r="34" spans="1:4" ht="15.6" x14ac:dyDescent="0.3">
      <c r="A34" s="87"/>
    </row>
    <row r="39" spans="1:4" x14ac:dyDescent="0.3">
      <c r="D39" s="155"/>
    </row>
  </sheetData>
  <mergeCells count="3">
    <mergeCell ref="A1:C1"/>
    <mergeCell ref="F1:H1"/>
    <mergeCell ref="B5:C5"/>
  </mergeCells>
  <pageMargins left="0.7" right="0.7" top="0.75" bottom="0.75" header="0.3" footer="0.3"/>
  <pageSetup paperSize="9" orientation="portrait" horizontalDpi="4294967293" verticalDpi="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0BA2-501C-42AE-AD5A-5043CD1F1CA5}">
  <sheetPr>
    <tabColor rgb="FFFFFF00"/>
  </sheetPr>
  <dimension ref="A1:M38"/>
  <sheetViews>
    <sheetView topLeftCell="A13" workbookViewId="0">
      <selection activeCell="F19" sqref="F19"/>
    </sheetView>
  </sheetViews>
  <sheetFormatPr defaultRowHeight="14.4" x14ac:dyDescent="0.3"/>
  <cols>
    <col min="2" max="2" width="34.33203125" customWidth="1"/>
    <col min="3" max="3" width="8.88671875" style="29"/>
    <col min="4" max="4" width="16.109375" bestFit="1" customWidth="1"/>
    <col min="5" max="5" width="17.6640625" bestFit="1" customWidth="1"/>
    <col min="6" max="6" width="9.33203125" customWidth="1"/>
    <col min="7" max="7" width="23.6640625" customWidth="1"/>
    <col min="9" max="9" width="23.33203125" customWidth="1"/>
  </cols>
  <sheetData>
    <row r="1" spans="1:13" x14ac:dyDescent="0.3">
      <c r="B1" s="29"/>
      <c r="D1" s="29"/>
      <c r="E1" s="29"/>
      <c r="F1" s="29"/>
      <c r="G1" s="29"/>
      <c r="H1" s="29"/>
      <c r="I1" s="70" t="s">
        <v>169</v>
      </c>
    </row>
    <row r="2" spans="1:13" x14ac:dyDescent="0.3">
      <c r="B2" s="33" t="s">
        <v>83</v>
      </c>
      <c r="C2" s="44"/>
      <c r="D2" s="44" t="s">
        <v>78</v>
      </c>
      <c r="E2" s="29"/>
      <c r="F2" s="29"/>
      <c r="G2" s="29"/>
      <c r="H2" s="29"/>
      <c r="I2" s="70" t="s">
        <v>170</v>
      </c>
    </row>
    <row r="3" spans="1:13" x14ac:dyDescent="0.3">
      <c r="A3">
        <v>1</v>
      </c>
      <c r="B3" s="228" t="s">
        <v>354</v>
      </c>
      <c r="C3" s="52">
        <v>2200</v>
      </c>
      <c r="D3" s="59" t="s">
        <v>365</v>
      </c>
      <c r="E3" s="52"/>
      <c r="F3" s="52"/>
      <c r="G3" s="52"/>
      <c r="H3" s="52"/>
    </row>
    <row r="4" spans="1:13" x14ac:dyDescent="0.3">
      <c r="A4">
        <v>2</v>
      </c>
      <c r="B4" s="228" t="s">
        <v>355</v>
      </c>
      <c r="C4" s="52">
        <v>2200</v>
      </c>
      <c r="D4" s="59" t="s">
        <v>365</v>
      </c>
      <c r="E4" s="52"/>
      <c r="F4" s="52"/>
      <c r="G4" s="52"/>
      <c r="H4" s="52"/>
      <c r="I4" t="s">
        <v>177</v>
      </c>
    </row>
    <row r="5" spans="1:13" x14ac:dyDescent="0.3">
      <c r="A5">
        <v>3</v>
      </c>
      <c r="B5" s="76" t="s">
        <v>356</v>
      </c>
      <c r="C5" s="52">
        <v>2200</v>
      </c>
      <c r="D5" s="59" t="s">
        <v>365</v>
      </c>
      <c r="E5" s="52"/>
      <c r="F5" s="52"/>
      <c r="G5" s="52"/>
      <c r="H5" s="52"/>
      <c r="I5" s="7"/>
      <c r="J5" s="7"/>
      <c r="K5" s="7"/>
      <c r="L5" s="7"/>
      <c r="M5" s="7"/>
    </row>
    <row r="6" spans="1:13" x14ac:dyDescent="0.3">
      <c r="A6">
        <v>4</v>
      </c>
      <c r="B6" s="76" t="s">
        <v>357</v>
      </c>
      <c r="C6" s="52">
        <v>2200</v>
      </c>
      <c r="D6" s="59" t="s">
        <v>365</v>
      </c>
      <c r="E6" s="52"/>
      <c r="F6" s="52"/>
      <c r="G6" s="52"/>
      <c r="H6" s="52"/>
      <c r="I6" s="288"/>
      <c r="J6" s="288"/>
      <c r="K6" s="288" t="s">
        <v>234</v>
      </c>
      <c r="L6" s="288"/>
      <c r="M6" s="7"/>
    </row>
    <row r="7" spans="1:13" x14ac:dyDescent="0.3">
      <c r="A7">
        <v>5</v>
      </c>
      <c r="B7" s="76" t="s">
        <v>358</v>
      </c>
      <c r="C7" s="52">
        <v>2200</v>
      </c>
      <c r="D7" s="59" t="s">
        <v>365</v>
      </c>
      <c r="E7" s="52"/>
      <c r="F7" s="166"/>
      <c r="G7" s="166"/>
      <c r="H7" s="166"/>
      <c r="I7" s="7"/>
      <c r="J7" s="7"/>
      <c r="K7" s="7"/>
      <c r="L7" s="7"/>
      <c r="M7" s="7"/>
    </row>
    <row r="8" spans="1:13" x14ac:dyDescent="0.3">
      <c r="A8">
        <v>6</v>
      </c>
      <c r="B8" s="76" t="s">
        <v>359</v>
      </c>
      <c r="C8" s="52">
        <v>2200</v>
      </c>
      <c r="D8" s="59" t="s">
        <v>365</v>
      </c>
      <c r="E8" s="52"/>
      <c r="F8" s="52"/>
      <c r="G8" s="52"/>
      <c r="H8" s="52"/>
      <c r="I8" s="7" t="s">
        <v>214</v>
      </c>
      <c r="J8" s="7" t="s">
        <v>235</v>
      </c>
      <c r="K8" s="7">
        <v>100</v>
      </c>
      <c r="L8" s="7" t="s">
        <v>236</v>
      </c>
      <c r="M8" s="7"/>
    </row>
    <row r="9" spans="1:13" x14ac:dyDescent="0.3">
      <c r="A9">
        <v>7</v>
      </c>
      <c r="B9" s="76" t="s">
        <v>360</v>
      </c>
      <c r="C9" s="52">
        <v>2200</v>
      </c>
      <c r="D9" s="59" t="s">
        <v>365</v>
      </c>
      <c r="E9" s="52"/>
      <c r="F9" s="52"/>
      <c r="G9" s="52"/>
      <c r="H9" s="52"/>
      <c r="I9" s="7" t="s">
        <v>215</v>
      </c>
      <c r="J9" s="7" t="s">
        <v>235</v>
      </c>
      <c r="K9" s="7">
        <v>1300</v>
      </c>
      <c r="L9" s="7" t="s">
        <v>236</v>
      </c>
      <c r="M9" s="7"/>
    </row>
    <row r="10" spans="1:13" x14ac:dyDescent="0.3">
      <c r="A10">
        <v>8</v>
      </c>
      <c r="B10" s="76" t="s">
        <v>361</v>
      </c>
      <c r="C10" s="52">
        <v>2200</v>
      </c>
      <c r="D10" s="59" t="s">
        <v>365</v>
      </c>
      <c r="E10" s="52"/>
      <c r="I10" s="7" t="s">
        <v>216</v>
      </c>
      <c r="J10" s="7" t="s">
        <v>237</v>
      </c>
      <c r="K10" s="7">
        <v>1400</v>
      </c>
      <c r="L10" s="7" t="s">
        <v>236</v>
      </c>
      <c r="M10" s="7"/>
    </row>
    <row r="11" spans="1:13" x14ac:dyDescent="0.3">
      <c r="A11">
        <v>9</v>
      </c>
      <c r="B11" s="76" t="s">
        <v>362</v>
      </c>
      <c r="C11" s="52">
        <v>2200</v>
      </c>
      <c r="D11" s="59" t="s">
        <v>365</v>
      </c>
      <c r="E11" s="52"/>
      <c r="I11" s="7" t="s">
        <v>217</v>
      </c>
      <c r="J11" s="7" t="s">
        <v>237</v>
      </c>
      <c r="K11" s="7">
        <v>1400</v>
      </c>
      <c r="L11" s="7" t="s">
        <v>236</v>
      </c>
      <c r="M11" s="7"/>
    </row>
    <row r="12" spans="1:13" x14ac:dyDescent="0.3">
      <c r="A12">
        <v>10</v>
      </c>
      <c r="B12" s="76" t="s">
        <v>363</v>
      </c>
      <c r="C12" s="52">
        <v>2200</v>
      </c>
      <c r="D12" s="59" t="s">
        <v>365</v>
      </c>
      <c r="E12" s="52"/>
      <c r="F12" s="52"/>
      <c r="G12" s="29"/>
      <c r="I12" s="7" t="s">
        <v>218</v>
      </c>
      <c r="J12" s="7" t="s">
        <v>235</v>
      </c>
      <c r="K12" s="7">
        <v>1400</v>
      </c>
      <c r="L12" s="7" t="s">
        <v>236</v>
      </c>
      <c r="M12" s="7"/>
    </row>
    <row r="13" spans="1:13" x14ac:dyDescent="0.3">
      <c r="A13">
        <v>11</v>
      </c>
      <c r="B13" s="76" t="s">
        <v>364</v>
      </c>
      <c r="C13" s="52">
        <v>2200</v>
      </c>
      <c r="D13" s="59" t="s">
        <v>365</v>
      </c>
      <c r="E13" s="52"/>
      <c r="F13" s="52"/>
      <c r="G13" s="29"/>
      <c r="K13">
        <f>SUM(K8:K12)</f>
        <v>5600</v>
      </c>
    </row>
    <row r="14" spans="1:13" ht="15.6" customHeight="1" x14ac:dyDescent="0.3">
      <c r="A14">
        <v>12</v>
      </c>
      <c r="B14" s="103" t="s">
        <v>337</v>
      </c>
      <c r="C14" s="52">
        <v>2200</v>
      </c>
      <c r="D14" s="59" t="s">
        <v>365</v>
      </c>
      <c r="E14" s="52"/>
      <c r="F14" s="52"/>
      <c r="G14" s="29"/>
    </row>
    <row r="15" spans="1:13" x14ac:dyDescent="0.3">
      <c r="A15">
        <v>13</v>
      </c>
      <c r="B15" s="76" t="s">
        <v>337</v>
      </c>
      <c r="C15" s="52">
        <v>2200</v>
      </c>
      <c r="D15" s="59" t="s">
        <v>365</v>
      </c>
      <c r="E15" s="52"/>
      <c r="F15" s="52"/>
      <c r="G15" s="29"/>
      <c r="H15">
        <v>1</v>
      </c>
      <c r="I15" s="57" t="s">
        <v>354</v>
      </c>
    </row>
    <row r="16" spans="1:13" x14ac:dyDescent="0.3">
      <c r="B16" s="65"/>
      <c r="D16" s="59"/>
      <c r="E16" s="52"/>
      <c r="F16" s="52"/>
      <c r="G16" s="29"/>
      <c r="H16">
        <v>2</v>
      </c>
      <c r="I16" s="234" t="s">
        <v>355</v>
      </c>
    </row>
    <row r="17" spans="1:11" x14ac:dyDescent="0.3">
      <c r="B17" s="77">
        <v>13</v>
      </c>
      <c r="D17" s="29"/>
      <c r="E17" s="29"/>
      <c r="F17" s="29">
        <f>+F18/1.15</f>
        <v>36150</v>
      </c>
      <c r="G17" s="29"/>
      <c r="H17">
        <v>3</v>
      </c>
      <c r="I17" s="57" t="s">
        <v>356</v>
      </c>
    </row>
    <row r="18" spans="1:11" x14ac:dyDescent="0.3">
      <c r="B18" s="60"/>
      <c r="C18" s="45">
        <f>SUM(C3:C17)</f>
        <v>28600</v>
      </c>
      <c r="D18" s="29" t="s">
        <v>86</v>
      </c>
      <c r="E18" s="22" t="s">
        <v>77</v>
      </c>
      <c r="F18" s="22">
        <f>(C18+C20+C21+C22+C23)*1.15</f>
        <v>41572.5</v>
      </c>
      <c r="G18" s="22"/>
      <c r="H18">
        <v>4</v>
      </c>
      <c r="I18" s="57" t="s">
        <v>357</v>
      </c>
    </row>
    <row r="19" spans="1:11" x14ac:dyDescent="0.3">
      <c r="B19" s="34"/>
      <c r="C19" s="44"/>
      <c r="D19" s="29"/>
      <c r="E19" s="22"/>
      <c r="F19" s="46"/>
      <c r="G19" s="29"/>
      <c r="H19">
        <v>5</v>
      </c>
      <c r="I19" s="57" t="s">
        <v>358</v>
      </c>
    </row>
    <row r="20" spans="1:11" x14ac:dyDescent="0.3">
      <c r="B20" s="34" t="s">
        <v>85</v>
      </c>
      <c r="C20" s="118">
        <f>C32</f>
        <v>5600</v>
      </c>
      <c r="D20" s="29" t="s">
        <v>178</v>
      </c>
      <c r="E20" s="29"/>
      <c r="F20" s="46"/>
      <c r="G20" s="69"/>
      <c r="H20">
        <v>6</v>
      </c>
      <c r="I20" s="295" t="s">
        <v>359</v>
      </c>
    </row>
    <row r="21" spans="1:11" x14ac:dyDescent="0.3">
      <c r="B21" s="34"/>
      <c r="D21" s="61"/>
      <c r="E21" s="61"/>
      <c r="F21" s="46"/>
      <c r="G21" s="29"/>
      <c r="H21">
        <v>7</v>
      </c>
      <c r="I21" s="100" t="s">
        <v>360</v>
      </c>
    </row>
    <row r="22" spans="1:11" ht="28.8" x14ac:dyDescent="0.3">
      <c r="B22" s="286" t="s">
        <v>112</v>
      </c>
      <c r="C22" s="29">
        <f>B17*150</f>
        <v>1950</v>
      </c>
      <c r="D22" s="29" t="s">
        <v>178</v>
      </c>
      <c r="E22" s="29"/>
      <c r="H22">
        <v>8</v>
      </c>
      <c r="I22" s="295" t="s">
        <v>361</v>
      </c>
    </row>
    <row r="23" spans="1:11" x14ac:dyDescent="0.3">
      <c r="B23" s="34" t="s">
        <v>160</v>
      </c>
      <c r="D23" s="29"/>
      <c r="E23" s="29"/>
      <c r="F23" s="29"/>
      <c r="G23" s="29"/>
      <c r="H23">
        <v>9</v>
      </c>
      <c r="I23" s="234" t="s">
        <v>362</v>
      </c>
    </row>
    <row r="24" spans="1:11" x14ac:dyDescent="0.3">
      <c r="B24" s="34"/>
      <c r="C24" s="47">
        <f>C18-C20-C21+C22+C23</f>
        <v>24950</v>
      </c>
      <c r="D24" s="22" t="s">
        <v>87</v>
      </c>
      <c r="E24" s="29"/>
      <c r="F24" s="29"/>
      <c r="G24" s="29"/>
      <c r="H24">
        <v>10</v>
      </c>
      <c r="I24" s="57" t="s">
        <v>363</v>
      </c>
    </row>
    <row r="25" spans="1:11" x14ac:dyDescent="0.3">
      <c r="B25" s="34"/>
      <c r="C25" s="22"/>
      <c r="D25" s="29"/>
      <c r="E25" s="29"/>
      <c r="F25" s="29"/>
      <c r="G25" s="29"/>
      <c r="H25">
        <v>11</v>
      </c>
      <c r="I25" s="234" t="s">
        <v>364</v>
      </c>
    </row>
    <row r="26" spans="1:11" x14ac:dyDescent="0.3">
      <c r="B26" s="47" t="s">
        <v>84</v>
      </c>
      <c r="E26" s="29"/>
      <c r="F26" s="29"/>
      <c r="G26" s="29"/>
      <c r="H26">
        <v>12</v>
      </c>
      <c r="I26" s="234" t="s">
        <v>337</v>
      </c>
    </row>
    <row r="27" spans="1:11" x14ac:dyDescent="0.3">
      <c r="B27" s="102" t="s">
        <v>214</v>
      </c>
      <c r="C27" s="156">
        <v>100</v>
      </c>
      <c r="D27" s="83"/>
      <c r="E27" s="83"/>
      <c r="F27" s="29"/>
      <c r="G27" s="29"/>
      <c r="H27">
        <v>13</v>
      </c>
      <c r="I27" s="236" t="s">
        <v>337</v>
      </c>
      <c r="J27">
        <f>13*2200</f>
        <v>28600</v>
      </c>
      <c r="K27" t="s">
        <v>344</v>
      </c>
    </row>
    <row r="28" spans="1:11" x14ac:dyDescent="0.3">
      <c r="B28" s="156" t="s">
        <v>215</v>
      </c>
      <c r="C28" s="156">
        <v>1300</v>
      </c>
      <c r="D28" s="83"/>
      <c r="E28" s="83"/>
      <c r="F28" s="29"/>
      <c r="G28" s="29"/>
      <c r="I28">
        <f>13*150</f>
        <v>1950</v>
      </c>
      <c r="J28" t="s">
        <v>342</v>
      </c>
    </row>
    <row r="29" spans="1:11" x14ac:dyDescent="0.3">
      <c r="B29" s="156" t="s">
        <v>216</v>
      </c>
      <c r="C29" s="156">
        <v>1400</v>
      </c>
      <c r="D29" s="74"/>
      <c r="E29" s="83"/>
      <c r="F29" s="31"/>
      <c r="G29" s="29"/>
    </row>
    <row r="30" spans="1:11" x14ac:dyDescent="0.3">
      <c r="A30" s="53"/>
      <c r="B30" s="76" t="s">
        <v>217</v>
      </c>
      <c r="C30" s="76">
        <v>1400</v>
      </c>
      <c r="D30" s="86"/>
      <c r="E30" s="64"/>
      <c r="F30" s="31"/>
    </row>
    <row r="31" spans="1:11" x14ac:dyDescent="0.3">
      <c r="A31" s="53"/>
      <c r="B31" s="76" t="s">
        <v>218</v>
      </c>
      <c r="C31" s="76">
        <v>1400</v>
      </c>
      <c r="D31" s="86"/>
      <c r="E31" s="64"/>
      <c r="F31" s="31"/>
    </row>
    <row r="32" spans="1:11" x14ac:dyDescent="0.3">
      <c r="B32" s="66"/>
      <c r="C32" s="160">
        <f>C27+C28+C29+C30+C31</f>
        <v>5600</v>
      </c>
      <c r="D32" s="63"/>
      <c r="E32" s="31"/>
      <c r="F32" s="31"/>
    </row>
    <row r="33" spans="2:9" ht="15.6" x14ac:dyDescent="0.3">
      <c r="B33" s="55"/>
      <c r="C33" s="79"/>
      <c r="D33" s="29"/>
      <c r="E33" s="29"/>
      <c r="F33" s="29"/>
    </row>
    <row r="34" spans="2:9" x14ac:dyDescent="0.3">
      <c r="B34" s="47"/>
      <c r="D34" s="29"/>
      <c r="E34" s="29"/>
      <c r="F34" s="29"/>
    </row>
    <row r="35" spans="2:9" x14ac:dyDescent="0.3">
      <c r="B35" s="53"/>
      <c r="E35" s="29"/>
      <c r="F35" s="29"/>
      <c r="G35" s="29"/>
    </row>
    <row r="36" spans="2:9" x14ac:dyDescent="0.3">
      <c r="I36" s="16"/>
    </row>
    <row r="37" spans="2:9" x14ac:dyDescent="0.3">
      <c r="B37" s="47"/>
      <c r="D37" s="29"/>
    </row>
    <row r="38" spans="2:9" x14ac:dyDescent="0.3">
      <c r="B38" s="53"/>
    </row>
  </sheetData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1F8A9-022D-4BBA-AD03-EB4EFB837FDB}">
  <sheetPr>
    <tabColor rgb="FFFFFF00"/>
  </sheetPr>
  <dimension ref="B1:O47"/>
  <sheetViews>
    <sheetView workbookViewId="0">
      <selection activeCell="G12" sqref="G12"/>
    </sheetView>
  </sheetViews>
  <sheetFormatPr defaultRowHeight="14.4" x14ac:dyDescent="0.3"/>
  <cols>
    <col min="3" max="3" width="49" bestFit="1" customWidth="1"/>
    <col min="4" max="4" width="8.88671875" style="29" bestFit="1"/>
    <col min="5" max="5" width="16.109375" bestFit="1" customWidth="1"/>
    <col min="6" max="6" width="17.6640625" bestFit="1" customWidth="1"/>
    <col min="7" max="7" width="9.6640625" customWidth="1"/>
    <col min="8" max="8" width="25.44140625" customWidth="1"/>
    <col min="9" max="9" width="9.6640625" customWidth="1"/>
    <col min="10" max="10" width="26.33203125" customWidth="1"/>
  </cols>
  <sheetData>
    <row r="1" spans="2:15" x14ac:dyDescent="0.3">
      <c r="C1" s="33" t="s">
        <v>83</v>
      </c>
      <c r="D1" s="44"/>
      <c r="E1" s="44" t="s">
        <v>78</v>
      </c>
      <c r="F1" s="29"/>
      <c r="I1" s="29"/>
    </row>
    <row r="2" spans="2:15" x14ac:dyDescent="0.3">
      <c r="C2" s="123"/>
      <c r="E2" s="29"/>
      <c r="F2" s="52"/>
      <c r="H2" s="84"/>
      <c r="I2" s="29"/>
      <c r="K2" s="159"/>
    </row>
    <row r="3" spans="2:15" x14ac:dyDescent="0.3">
      <c r="B3">
        <v>1</v>
      </c>
      <c r="C3" s="65" t="s">
        <v>346</v>
      </c>
      <c r="D3" s="52">
        <f>2200/2</f>
        <v>1100</v>
      </c>
      <c r="E3" s="52" t="s">
        <v>350</v>
      </c>
      <c r="F3" s="52"/>
      <c r="H3" s="84"/>
      <c r="I3" s="29"/>
      <c r="K3" s="159"/>
    </row>
    <row r="4" spans="2:15" x14ac:dyDescent="0.3">
      <c r="B4">
        <v>2</v>
      </c>
      <c r="C4" s="65" t="s">
        <v>347</v>
      </c>
      <c r="D4" s="52">
        <f t="shared" ref="D4:D6" si="0">2200/2</f>
        <v>1100</v>
      </c>
      <c r="E4" s="52" t="s">
        <v>350</v>
      </c>
      <c r="F4" s="52"/>
      <c r="J4" s="70" t="s">
        <v>169</v>
      </c>
    </row>
    <row r="5" spans="2:15" x14ac:dyDescent="0.3">
      <c r="B5">
        <v>3</v>
      </c>
      <c r="C5" s="153" t="s">
        <v>348</v>
      </c>
      <c r="D5" s="52">
        <f t="shared" si="0"/>
        <v>1100</v>
      </c>
      <c r="E5" s="52" t="s">
        <v>350</v>
      </c>
      <c r="F5" s="52"/>
      <c r="H5" s="166"/>
      <c r="J5" s="70" t="s">
        <v>170</v>
      </c>
    </row>
    <row r="6" spans="2:15" x14ac:dyDescent="0.3">
      <c r="B6">
        <v>4</v>
      </c>
      <c r="C6" s="153" t="s">
        <v>349</v>
      </c>
      <c r="D6" s="52">
        <f t="shared" si="0"/>
        <v>1100</v>
      </c>
      <c r="E6" s="52" t="s">
        <v>350</v>
      </c>
      <c r="F6" s="52"/>
      <c r="H6" s="166"/>
      <c r="I6" s="29"/>
    </row>
    <row r="7" spans="2:15" x14ac:dyDescent="0.3">
      <c r="B7">
        <v>5</v>
      </c>
      <c r="C7" s="238" t="s">
        <v>351</v>
      </c>
      <c r="D7" s="52">
        <v>2200</v>
      </c>
      <c r="E7" s="52" t="s">
        <v>247</v>
      </c>
      <c r="F7" s="52"/>
      <c r="I7" s="29"/>
    </row>
    <row r="8" spans="2:15" x14ac:dyDescent="0.3">
      <c r="B8">
        <v>6</v>
      </c>
      <c r="C8" s="238" t="s">
        <v>352</v>
      </c>
      <c r="D8" s="52">
        <v>2200</v>
      </c>
      <c r="E8" s="52" t="s">
        <v>247</v>
      </c>
      <c r="F8" s="52"/>
      <c r="H8" s="166"/>
      <c r="I8" s="29"/>
    </row>
    <row r="9" spans="2:15" x14ac:dyDescent="0.3">
      <c r="C9" s="124"/>
      <c r="E9" s="29"/>
      <c r="F9" s="29"/>
      <c r="G9" s="29"/>
      <c r="H9" s="166"/>
      <c r="I9" s="29"/>
      <c r="J9" s="288"/>
      <c r="K9" s="288"/>
      <c r="L9" s="288" t="s">
        <v>238</v>
      </c>
      <c r="M9" s="288"/>
      <c r="N9" s="289"/>
    </row>
    <row r="10" spans="2:15" x14ac:dyDescent="0.3">
      <c r="C10" s="101" t="s">
        <v>353</v>
      </c>
      <c r="E10" s="29"/>
      <c r="F10" s="29"/>
      <c r="G10" s="29">
        <f>+G11/1.15</f>
        <v>9500</v>
      </c>
      <c r="I10" s="29"/>
      <c r="J10" s="7"/>
      <c r="K10" s="7"/>
      <c r="L10" s="7"/>
      <c r="M10" s="290"/>
      <c r="N10" s="290"/>
    </row>
    <row r="11" spans="2:15" x14ac:dyDescent="0.3">
      <c r="C11" s="60"/>
      <c r="D11" s="45">
        <f>SUM(D2:D10)</f>
        <v>8800</v>
      </c>
      <c r="E11" s="29" t="s">
        <v>86</v>
      </c>
      <c r="F11" s="22" t="s">
        <v>77</v>
      </c>
      <c r="G11" s="113">
        <f>(D11+D13+D15+D16+D14)*1.15</f>
        <v>10925</v>
      </c>
      <c r="H11" s="166"/>
      <c r="I11" s="29"/>
      <c r="J11" s="7" t="s">
        <v>217</v>
      </c>
      <c r="K11" s="7" t="s">
        <v>237</v>
      </c>
      <c r="L11" s="7">
        <v>100</v>
      </c>
      <c r="M11" s="7" t="s">
        <v>239</v>
      </c>
      <c r="N11" s="290"/>
    </row>
    <row r="12" spans="2:15" x14ac:dyDescent="0.3">
      <c r="C12" s="34"/>
      <c r="D12" s="44"/>
      <c r="E12" s="29"/>
      <c r="F12" s="22"/>
      <c r="G12" s="46"/>
      <c r="H12" s="166"/>
      <c r="I12" s="43"/>
      <c r="J12" s="7"/>
      <c r="K12" s="7"/>
      <c r="L12" s="7"/>
      <c r="M12" s="7"/>
      <c r="N12" s="290"/>
      <c r="O12" s="43"/>
    </row>
    <row r="13" spans="2:15" x14ac:dyDescent="0.3">
      <c r="C13" s="34" t="s">
        <v>85</v>
      </c>
      <c r="D13" s="118">
        <f>D23</f>
        <v>100</v>
      </c>
      <c r="E13" s="29" t="s">
        <v>178</v>
      </c>
      <c r="F13" s="29"/>
      <c r="J13" s="7"/>
      <c r="K13" s="7"/>
      <c r="L13" s="291">
        <f>SUM(L11:L12)</f>
        <v>100</v>
      </c>
      <c r="M13" s="7"/>
      <c r="N13" s="7"/>
    </row>
    <row r="14" spans="2:15" x14ac:dyDescent="0.3">
      <c r="C14" s="34" t="s">
        <v>253</v>
      </c>
      <c r="E14" s="61"/>
      <c r="F14" s="61"/>
    </row>
    <row r="15" spans="2:15" x14ac:dyDescent="0.3">
      <c r="C15" s="34" t="s">
        <v>112</v>
      </c>
      <c r="D15" s="29">
        <f>4*150</f>
        <v>600</v>
      </c>
      <c r="E15" s="239" t="s">
        <v>178</v>
      </c>
      <c r="F15" s="240"/>
    </row>
    <row r="16" spans="2:15" x14ac:dyDescent="0.3">
      <c r="C16" s="34" t="s">
        <v>161</v>
      </c>
      <c r="E16" s="29"/>
      <c r="F16" s="29"/>
      <c r="G16" s="29"/>
      <c r="I16">
        <v>1</v>
      </c>
      <c r="J16" s="238" t="s">
        <v>351</v>
      </c>
      <c r="K16">
        <v>2200</v>
      </c>
    </row>
    <row r="17" spans="3:11" x14ac:dyDescent="0.3">
      <c r="C17" s="34"/>
      <c r="D17" s="47">
        <f>+D11-D13+D15+D16-D14</f>
        <v>9300</v>
      </c>
      <c r="E17" s="22" t="s">
        <v>87</v>
      </c>
      <c r="F17" s="29"/>
      <c r="G17" s="47"/>
      <c r="I17">
        <v>2</v>
      </c>
      <c r="J17" s="238" t="s">
        <v>352</v>
      </c>
      <c r="K17">
        <v>2200</v>
      </c>
    </row>
    <row r="18" spans="3:11" x14ac:dyDescent="0.3">
      <c r="C18" s="34"/>
      <c r="D18" s="22"/>
      <c r="E18" s="29"/>
      <c r="F18" s="29"/>
      <c r="G18" s="244"/>
      <c r="I18">
        <v>3</v>
      </c>
      <c r="J18" s="232" t="s">
        <v>346</v>
      </c>
      <c r="K18">
        <v>1100</v>
      </c>
    </row>
    <row r="19" spans="3:11" x14ac:dyDescent="0.3">
      <c r="C19" s="47" t="s">
        <v>84</v>
      </c>
      <c r="E19">
        <f>+D19*1.15</f>
        <v>0</v>
      </c>
      <c r="F19" s="29"/>
      <c r="G19" s="244"/>
      <c r="H19" s="29"/>
      <c r="J19" s="65" t="s">
        <v>347</v>
      </c>
      <c r="K19">
        <v>1100</v>
      </c>
    </row>
    <row r="20" spans="3:11" x14ac:dyDescent="0.3">
      <c r="C20" s="107" t="s">
        <v>217</v>
      </c>
      <c r="D20" s="126">
        <v>100</v>
      </c>
      <c r="E20" s="83"/>
      <c r="F20" s="83"/>
      <c r="G20" s="29"/>
      <c r="H20" s="29"/>
      <c r="I20">
        <v>4</v>
      </c>
      <c r="J20" s="65" t="s">
        <v>348</v>
      </c>
      <c r="K20">
        <v>1100</v>
      </c>
    </row>
    <row r="21" spans="3:11" x14ac:dyDescent="0.3">
      <c r="C21" s="102"/>
      <c r="D21" s="125"/>
      <c r="E21" s="83"/>
      <c r="F21" s="83"/>
      <c r="G21" s="29"/>
      <c r="H21" s="29"/>
      <c r="J21" s="65" t="s">
        <v>349</v>
      </c>
      <c r="K21">
        <v>1100</v>
      </c>
    </row>
    <row r="22" spans="3:11" x14ac:dyDescent="0.3">
      <c r="C22" s="127"/>
      <c r="D22" s="126"/>
      <c r="E22" s="128"/>
      <c r="F22" s="31"/>
      <c r="G22" s="31"/>
      <c r="H22" s="29"/>
      <c r="K22" s="16">
        <f>SUM(K16:K21)</f>
        <v>8800</v>
      </c>
    </row>
    <row r="23" spans="3:11" ht="15.6" x14ac:dyDescent="0.3">
      <c r="C23" s="109"/>
      <c r="D23" s="129">
        <f>SUM(D20:D22)</f>
        <v>100</v>
      </c>
      <c r="E23" s="29"/>
      <c r="F23" s="29"/>
      <c r="G23" s="31"/>
      <c r="H23" s="29" t="s">
        <v>121</v>
      </c>
      <c r="J23">
        <f>4*150</f>
        <v>600</v>
      </c>
      <c r="K23" t="s">
        <v>342</v>
      </c>
    </row>
    <row r="24" spans="3:11" x14ac:dyDescent="0.3">
      <c r="C24" s="47"/>
      <c r="E24" s="29"/>
      <c r="F24" s="29"/>
      <c r="G24" s="31"/>
      <c r="H24" s="29">
        <f>2*H28</f>
        <v>919.32</v>
      </c>
    </row>
    <row r="25" spans="3:11" x14ac:dyDescent="0.3">
      <c r="C25" s="53"/>
      <c r="F25" s="29"/>
      <c r="G25" s="31"/>
      <c r="H25" s="29">
        <f>H24-D13</f>
        <v>819.32</v>
      </c>
    </row>
    <row r="26" spans="3:11" x14ac:dyDescent="0.3">
      <c r="G26" s="31"/>
      <c r="H26" s="29"/>
    </row>
    <row r="27" spans="3:11" x14ac:dyDescent="0.3">
      <c r="G27" s="29"/>
      <c r="H27" s="29"/>
    </row>
    <row r="28" spans="3:11" x14ac:dyDescent="0.3">
      <c r="G28" s="29"/>
      <c r="H28" s="29">
        <v>459.66</v>
      </c>
    </row>
    <row r="29" spans="3:11" x14ac:dyDescent="0.3">
      <c r="G29" s="29"/>
      <c r="H29" s="22"/>
    </row>
    <row r="30" spans="3:11" x14ac:dyDescent="0.3">
      <c r="H30" s="29"/>
    </row>
    <row r="31" spans="3:11" x14ac:dyDescent="0.3">
      <c r="H31" s="69"/>
    </row>
    <row r="32" spans="3:11" x14ac:dyDescent="0.3">
      <c r="H32" s="29"/>
    </row>
    <row r="33" spans="6:10" x14ac:dyDescent="0.3">
      <c r="F33" s="157"/>
    </row>
    <row r="34" spans="6:10" x14ac:dyDescent="0.3">
      <c r="H34" s="29"/>
    </row>
    <row r="35" spans="6:10" x14ac:dyDescent="0.3">
      <c r="H35" s="29"/>
    </row>
    <row r="36" spans="6:10" x14ac:dyDescent="0.3">
      <c r="H36" s="244"/>
    </row>
    <row r="37" spans="6:10" x14ac:dyDescent="0.3">
      <c r="H37" s="244"/>
    </row>
    <row r="38" spans="6:10" x14ac:dyDescent="0.3">
      <c r="H38" s="56"/>
      <c r="I38" s="244"/>
    </row>
    <row r="39" spans="6:10" x14ac:dyDescent="0.3">
      <c r="I39" s="244"/>
    </row>
    <row r="43" spans="6:10" x14ac:dyDescent="0.3">
      <c r="H43" s="29"/>
    </row>
    <row r="44" spans="6:10" x14ac:dyDescent="0.3">
      <c r="H44" s="29"/>
    </row>
    <row r="45" spans="6:10" x14ac:dyDescent="0.3">
      <c r="H45" s="29"/>
      <c r="J45" s="16"/>
    </row>
    <row r="46" spans="6:10" x14ac:dyDescent="0.3">
      <c r="H46" s="29"/>
    </row>
    <row r="47" spans="6:10" x14ac:dyDescent="0.3">
      <c r="H47" s="29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71C65-2583-4E25-A7EC-1D8196F57E7F}">
  <sheetPr>
    <tabColor rgb="FFFFFF00"/>
  </sheetPr>
  <dimension ref="B1:M45"/>
  <sheetViews>
    <sheetView workbookViewId="0">
      <selection activeCell="C19" sqref="C19:D20"/>
    </sheetView>
  </sheetViews>
  <sheetFormatPr defaultRowHeight="14.4" x14ac:dyDescent="0.3"/>
  <cols>
    <col min="3" max="3" width="49" bestFit="1" customWidth="1"/>
    <col min="4" max="4" width="8.88671875" style="29"/>
    <col min="5" max="5" width="16.109375" bestFit="1" customWidth="1"/>
    <col min="6" max="6" width="17.6640625" bestFit="1" customWidth="1"/>
    <col min="7" max="7" width="9.6640625" customWidth="1"/>
    <col min="8" max="8" width="25.44140625" customWidth="1"/>
    <col min="9" max="9" width="9.6640625" customWidth="1"/>
    <col min="10" max="10" width="17.6640625" bestFit="1" customWidth="1"/>
  </cols>
  <sheetData>
    <row r="1" spans="2:13" x14ac:dyDescent="0.3">
      <c r="C1" s="33" t="s">
        <v>83</v>
      </c>
      <c r="D1" s="44"/>
      <c r="E1" s="44" t="s">
        <v>78</v>
      </c>
      <c r="F1" s="29"/>
      <c r="I1" s="29"/>
    </row>
    <row r="2" spans="2:13" x14ac:dyDescent="0.3">
      <c r="C2" s="123"/>
      <c r="E2" s="29"/>
      <c r="F2" s="52"/>
      <c r="H2" s="84"/>
      <c r="I2" s="29"/>
      <c r="K2" s="159"/>
    </row>
    <row r="3" spans="2:13" x14ac:dyDescent="0.3">
      <c r="B3">
        <v>1</v>
      </c>
      <c r="C3" s="65" t="s">
        <v>368</v>
      </c>
      <c r="D3" s="52">
        <v>1900</v>
      </c>
      <c r="E3" s="52" t="s">
        <v>242</v>
      </c>
      <c r="F3" s="52"/>
      <c r="H3" s="29"/>
      <c r="I3" s="29"/>
      <c r="K3" s="159"/>
    </row>
    <row r="4" spans="2:13" x14ac:dyDescent="0.3">
      <c r="B4">
        <v>2</v>
      </c>
      <c r="C4" s="65" t="s">
        <v>369</v>
      </c>
      <c r="D4" s="52">
        <v>1900</v>
      </c>
      <c r="E4" s="52" t="s">
        <v>242</v>
      </c>
      <c r="F4" s="52"/>
      <c r="H4" s="29"/>
      <c r="J4" s="70" t="s">
        <v>169</v>
      </c>
    </row>
    <row r="5" spans="2:13" x14ac:dyDescent="0.3">
      <c r="B5">
        <v>3</v>
      </c>
      <c r="C5" s="153" t="s">
        <v>370</v>
      </c>
      <c r="D5" s="52">
        <v>1900</v>
      </c>
      <c r="E5" s="52" t="s">
        <v>242</v>
      </c>
      <c r="F5" s="52"/>
      <c r="H5" s="29"/>
      <c r="J5" s="70" t="s">
        <v>373</v>
      </c>
    </row>
    <row r="6" spans="2:13" x14ac:dyDescent="0.3">
      <c r="B6">
        <v>4</v>
      </c>
      <c r="C6" s="153" t="s">
        <v>372</v>
      </c>
      <c r="D6" s="52">
        <v>1900</v>
      </c>
      <c r="E6" s="52" t="s">
        <v>242</v>
      </c>
      <c r="F6" s="52"/>
      <c r="H6" s="29"/>
      <c r="I6" s="29"/>
    </row>
    <row r="7" spans="2:13" x14ac:dyDescent="0.3">
      <c r="C7" s="76"/>
      <c r="D7" s="52"/>
      <c r="E7" s="52"/>
      <c r="F7" s="52"/>
      <c r="H7" s="29"/>
      <c r="I7" s="29"/>
    </row>
    <row r="8" spans="2:13" x14ac:dyDescent="0.3">
      <c r="C8" s="65"/>
      <c r="D8" s="52"/>
      <c r="E8" s="52"/>
      <c r="F8" s="52"/>
      <c r="H8" s="29"/>
      <c r="I8" s="29"/>
    </row>
    <row r="9" spans="2:13" x14ac:dyDescent="0.3">
      <c r="C9" s="101">
        <v>4</v>
      </c>
      <c r="E9" s="29"/>
      <c r="F9" s="29"/>
      <c r="G9" s="29">
        <f>+G10/1.15</f>
        <v>8500</v>
      </c>
      <c r="H9" s="29"/>
      <c r="I9" s="29"/>
      <c r="J9" s="7" t="s">
        <v>177</v>
      </c>
      <c r="K9" s="7"/>
      <c r="L9" s="7"/>
      <c r="M9" s="7"/>
    </row>
    <row r="10" spans="2:13" x14ac:dyDescent="0.3">
      <c r="C10" s="60" t="s">
        <v>178</v>
      </c>
      <c r="D10" s="45">
        <f>SUM(D2:D9)</f>
        <v>7600</v>
      </c>
      <c r="E10" s="29" t="s">
        <v>86</v>
      </c>
      <c r="F10" s="22" t="s">
        <v>77</v>
      </c>
      <c r="G10" s="113">
        <f>(D10+D12+D14+D15+D13)*1.15</f>
        <v>9775</v>
      </c>
      <c r="H10" s="29"/>
      <c r="I10" s="29"/>
      <c r="J10" s="288"/>
      <c r="K10" s="288"/>
      <c r="L10" s="288" t="s">
        <v>240</v>
      </c>
      <c r="M10" s="288"/>
    </row>
    <row r="11" spans="2:13" x14ac:dyDescent="0.3">
      <c r="C11" s="34"/>
      <c r="D11" s="44"/>
      <c r="E11" s="29"/>
      <c r="F11" s="22"/>
      <c r="G11" s="46"/>
      <c r="H11" s="29"/>
      <c r="I11" s="29"/>
      <c r="J11" s="7"/>
      <c r="K11" s="7"/>
      <c r="L11" s="7"/>
      <c r="M11" s="7"/>
    </row>
    <row r="12" spans="2:13" x14ac:dyDescent="0.3">
      <c r="C12" s="34" t="s">
        <v>85</v>
      </c>
      <c r="D12" s="118">
        <f>D23</f>
        <v>900</v>
      </c>
      <c r="E12" s="29" t="s">
        <v>178</v>
      </c>
      <c r="F12" s="29"/>
      <c r="G12" s="22"/>
      <c r="H12" s="22"/>
      <c r="I12" s="43"/>
      <c r="J12" s="7" t="s">
        <v>219</v>
      </c>
      <c r="K12" s="7" t="s">
        <v>241</v>
      </c>
      <c r="L12" s="7">
        <v>400</v>
      </c>
      <c r="M12" s="7" t="s">
        <v>242</v>
      </c>
    </row>
    <row r="13" spans="2:13" x14ac:dyDescent="0.3">
      <c r="C13" s="34" t="s">
        <v>253</v>
      </c>
      <c r="E13" s="61"/>
      <c r="F13" s="61"/>
      <c r="G13" s="29"/>
      <c r="H13" s="29"/>
      <c r="J13" s="7" t="s">
        <v>218</v>
      </c>
      <c r="K13" s="7" t="s">
        <v>243</v>
      </c>
      <c r="L13" s="7">
        <v>500</v>
      </c>
      <c r="M13" s="7" t="s">
        <v>242</v>
      </c>
    </row>
    <row r="14" spans="2:13" x14ac:dyDescent="0.3">
      <c r="C14" s="34" t="s">
        <v>112</v>
      </c>
      <c r="E14" s="298"/>
      <c r="F14" s="240"/>
      <c r="G14" s="22"/>
      <c r="H14" s="22"/>
      <c r="J14" s="7"/>
      <c r="K14" s="7"/>
      <c r="L14" s="291">
        <f>SUM(L12:L13)</f>
        <v>900</v>
      </c>
      <c r="M14" s="7"/>
    </row>
    <row r="15" spans="2:13" x14ac:dyDescent="0.3">
      <c r="C15" s="34" t="s">
        <v>161</v>
      </c>
      <c r="E15" s="29"/>
      <c r="F15" s="29"/>
      <c r="G15" s="29"/>
      <c r="H15" s="29"/>
      <c r="J15" t="s">
        <v>381</v>
      </c>
    </row>
    <row r="16" spans="2:13" x14ac:dyDescent="0.3">
      <c r="C16" s="34"/>
      <c r="D16" s="47">
        <f>+D10-D12+D14+D15-D13</f>
        <v>6700</v>
      </c>
      <c r="E16" s="22" t="s">
        <v>87</v>
      </c>
      <c r="F16" s="29"/>
      <c r="G16" s="22"/>
      <c r="H16" s="22"/>
      <c r="I16">
        <v>1</v>
      </c>
      <c r="J16" s="103" t="s">
        <v>368</v>
      </c>
      <c r="K16">
        <v>1900</v>
      </c>
    </row>
    <row r="17" spans="3:12" x14ac:dyDescent="0.3">
      <c r="C17" s="34"/>
      <c r="D17" s="22"/>
      <c r="E17" s="29"/>
      <c r="F17" s="29"/>
      <c r="G17" s="244"/>
      <c r="H17" s="29"/>
      <c r="I17">
        <v>2</v>
      </c>
      <c r="J17" s="156" t="s">
        <v>369</v>
      </c>
      <c r="K17">
        <v>1900</v>
      </c>
    </row>
    <row r="18" spans="3:12" x14ac:dyDescent="0.3">
      <c r="C18" s="47" t="s">
        <v>84</v>
      </c>
      <c r="F18" s="29"/>
      <c r="G18" s="244"/>
      <c r="I18">
        <v>3</v>
      </c>
      <c r="J18" s="103" t="s">
        <v>370</v>
      </c>
      <c r="K18">
        <v>1900</v>
      </c>
    </row>
    <row r="19" spans="3:12" x14ac:dyDescent="0.3">
      <c r="C19" s="107" t="s">
        <v>219</v>
      </c>
      <c r="D19" s="126">
        <v>400</v>
      </c>
      <c r="E19" s="83"/>
      <c r="F19" s="83"/>
      <c r="G19" s="29"/>
      <c r="H19" s="29"/>
      <c r="I19">
        <v>4</v>
      </c>
      <c r="J19" s="159" t="s">
        <v>372</v>
      </c>
      <c r="K19">
        <v>1900</v>
      </c>
    </row>
    <row r="20" spans="3:12" x14ac:dyDescent="0.3">
      <c r="C20" s="102" t="s">
        <v>218</v>
      </c>
      <c r="D20" s="125">
        <v>500</v>
      </c>
      <c r="E20" s="83"/>
      <c r="F20" s="83"/>
      <c r="G20" s="29"/>
      <c r="H20" s="29"/>
      <c r="K20" s="157">
        <f>1900*4</f>
        <v>7600</v>
      </c>
      <c r="L20" t="s">
        <v>8</v>
      </c>
    </row>
    <row r="21" spans="3:12" x14ac:dyDescent="0.3">
      <c r="C21" s="107"/>
      <c r="D21" s="126"/>
      <c r="E21" s="74"/>
      <c r="F21" s="83"/>
      <c r="G21" s="31"/>
      <c r="H21" s="244"/>
      <c r="J21" s="157" t="s">
        <v>660</v>
      </c>
    </row>
    <row r="22" spans="3:12" x14ac:dyDescent="0.3">
      <c r="C22" s="127"/>
      <c r="D22" s="126"/>
      <c r="E22" s="128"/>
      <c r="F22" s="83"/>
      <c r="G22" s="31"/>
      <c r="H22" s="244"/>
    </row>
    <row r="23" spans="3:12" ht="15.6" x14ac:dyDescent="0.3">
      <c r="C23" s="109"/>
      <c r="D23" s="129">
        <f>SUM(D19:D22)</f>
        <v>900</v>
      </c>
      <c r="E23" s="29"/>
      <c r="F23" s="83"/>
      <c r="G23" s="31"/>
      <c r="H23" s="56"/>
    </row>
    <row r="24" spans="3:12" x14ac:dyDescent="0.3">
      <c r="C24" s="47"/>
      <c r="E24" s="29"/>
      <c r="F24" s="64"/>
      <c r="G24" s="31"/>
    </row>
    <row r="25" spans="3:12" x14ac:dyDescent="0.3">
      <c r="C25" s="53"/>
      <c r="F25" s="31"/>
      <c r="G25" s="31"/>
    </row>
    <row r="26" spans="3:12" x14ac:dyDescent="0.3">
      <c r="F26" s="29"/>
      <c r="G26" s="29"/>
    </row>
    <row r="27" spans="3:12" x14ac:dyDescent="0.3">
      <c r="C27" s="53"/>
      <c r="F27" s="29"/>
      <c r="G27" s="29"/>
    </row>
    <row r="28" spans="3:12" x14ac:dyDescent="0.3">
      <c r="F28" s="29"/>
      <c r="G28" s="29"/>
      <c r="H28" s="29"/>
    </row>
    <row r="29" spans="3:12" x14ac:dyDescent="0.3">
      <c r="C29" s="53"/>
      <c r="H29" s="29"/>
    </row>
    <row r="30" spans="3:12" x14ac:dyDescent="0.3">
      <c r="H30" s="29"/>
    </row>
    <row r="31" spans="3:12" x14ac:dyDescent="0.3">
      <c r="H31" s="29"/>
    </row>
    <row r="32" spans="3:12" x14ac:dyDescent="0.3">
      <c r="H32" s="29"/>
    </row>
    <row r="36" spans="6:10" x14ac:dyDescent="0.3">
      <c r="F36" s="157"/>
    </row>
    <row r="38" spans="6:10" x14ac:dyDescent="0.3">
      <c r="I38" s="244"/>
    </row>
    <row r="39" spans="6:10" x14ac:dyDescent="0.3">
      <c r="I39" s="244"/>
    </row>
    <row r="45" spans="6:10" x14ac:dyDescent="0.3">
      <c r="J45" s="16"/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98EF7-0DE8-49CA-8327-0F17BB0143A3}">
  <sheetPr>
    <tabColor rgb="FFFFFF00"/>
  </sheetPr>
  <dimension ref="B1:M46"/>
  <sheetViews>
    <sheetView workbookViewId="0">
      <selection activeCell="C22" sqref="C22:D22"/>
    </sheetView>
  </sheetViews>
  <sheetFormatPr defaultRowHeight="14.4" x14ac:dyDescent="0.3"/>
  <cols>
    <col min="3" max="3" width="49" bestFit="1" customWidth="1"/>
    <col min="4" max="4" width="8.88671875" style="29"/>
    <col min="5" max="5" width="16.109375" bestFit="1" customWidth="1"/>
    <col min="6" max="6" width="17.6640625" bestFit="1" customWidth="1"/>
    <col min="7" max="7" width="9.6640625" customWidth="1"/>
    <col min="8" max="8" width="25.44140625" customWidth="1"/>
    <col min="9" max="9" width="9.6640625" customWidth="1"/>
    <col min="10" max="10" width="17.6640625" bestFit="1" customWidth="1"/>
    <col min="11" max="11" width="8.88671875" customWidth="1"/>
  </cols>
  <sheetData>
    <row r="1" spans="2:13" x14ac:dyDescent="0.3">
      <c r="C1" s="29"/>
      <c r="E1" s="29"/>
      <c r="F1" s="29"/>
      <c r="I1" s="29"/>
    </row>
    <row r="2" spans="2:13" x14ac:dyDescent="0.3">
      <c r="C2" s="33" t="s">
        <v>83</v>
      </c>
      <c r="D2" s="44"/>
      <c r="E2" s="44" t="s">
        <v>78</v>
      </c>
      <c r="F2" s="29"/>
      <c r="H2" s="84"/>
      <c r="I2" s="29"/>
      <c r="K2" s="159"/>
    </row>
    <row r="3" spans="2:13" x14ac:dyDescent="0.3">
      <c r="C3" s="123"/>
      <c r="E3" s="29"/>
      <c r="F3" s="52"/>
      <c r="H3" s="84" t="s">
        <v>381</v>
      </c>
      <c r="I3" s="29"/>
      <c r="K3" s="159"/>
    </row>
    <row r="4" spans="2:13" x14ac:dyDescent="0.3">
      <c r="B4">
        <v>1</v>
      </c>
      <c r="C4" s="65" t="s">
        <v>367</v>
      </c>
      <c r="D4" s="52">
        <v>2200</v>
      </c>
      <c r="E4" s="52" t="s">
        <v>245</v>
      </c>
      <c r="F4" s="52"/>
      <c r="G4">
        <v>1</v>
      </c>
      <c r="H4" s="232" t="s">
        <v>393</v>
      </c>
      <c r="I4">
        <v>2200</v>
      </c>
      <c r="J4" s="70" t="s">
        <v>169</v>
      </c>
    </row>
    <row r="5" spans="2:13" x14ac:dyDescent="0.3">
      <c r="B5">
        <v>2</v>
      </c>
      <c r="C5" s="285" t="s">
        <v>371</v>
      </c>
      <c r="D5" s="52">
        <v>2200</v>
      </c>
      <c r="E5" s="52" t="s">
        <v>245</v>
      </c>
      <c r="F5" s="52"/>
      <c r="G5">
        <v>2</v>
      </c>
      <c r="H5" s="232" t="s">
        <v>371</v>
      </c>
      <c r="I5">
        <v>2200</v>
      </c>
      <c r="J5" s="70" t="s">
        <v>170</v>
      </c>
    </row>
    <row r="6" spans="2:13" x14ac:dyDescent="0.3">
      <c r="B6">
        <v>3</v>
      </c>
      <c r="C6" s="153"/>
      <c r="D6" s="52"/>
      <c r="E6" s="52"/>
      <c r="F6" s="52"/>
      <c r="H6" s="162">
        <f>2*150</f>
        <v>300</v>
      </c>
      <c r="I6" s="29"/>
    </row>
    <row r="7" spans="2:13" x14ac:dyDescent="0.3">
      <c r="B7">
        <v>4</v>
      </c>
      <c r="C7" s="153"/>
      <c r="D7" s="52"/>
      <c r="E7" s="52"/>
      <c r="F7" s="52"/>
      <c r="H7" s="166"/>
      <c r="I7" s="29"/>
    </row>
    <row r="8" spans="2:13" x14ac:dyDescent="0.3">
      <c r="B8">
        <v>5</v>
      </c>
      <c r="C8" s="65"/>
      <c r="D8" s="52"/>
      <c r="E8" s="52"/>
      <c r="F8" s="52"/>
      <c r="H8" s="162"/>
      <c r="I8" s="29"/>
    </row>
    <row r="9" spans="2:13" x14ac:dyDescent="0.3">
      <c r="B9">
        <v>6</v>
      </c>
      <c r="C9" s="65"/>
      <c r="D9" s="52"/>
      <c r="E9" s="52"/>
      <c r="F9" s="52"/>
      <c r="H9" s="166"/>
      <c r="I9" s="29"/>
    </row>
    <row r="10" spans="2:13" x14ac:dyDescent="0.3">
      <c r="C10" s="65"/>
      <c r="D10" s="52"/>
      <c r="E10" s="52"/>
      <c r="F10" s="52"/>
      <c r="H10" s="162"/>
      <c r="I10" s="29"/>
    </row>
    <row r="11" spans="2:13" x14ac:dyDescent="0.3">
      <c r="C11" s="101"/>
      <c r="E11" s="29"/>
      <c r="F11" s="29"/>
      <c r="G11" s="29">
        <f>+G12/1.15</f>
        <v>5300</v>
      </c>
      <c r="H11" s="165"/>
      <c r="I11" s="29"/>
      <c r="J11" t="s">
        <v>212</v>
      </c>
    </row>
    <row r="12" spans="2:13" x14ac:dyDescent="0.3">
      <c r="C12" s="60"/>
      <c r="D12" s="45">
        <f>SUM(D3:D11)</f>
        <v>4400</v>
      </c>
      <c r="E12" s="29" t="s">
        <v>86</v>
      </c>
      <c r="F12" s="22" t="s">
        <v>77</v>
      </c>
      <c r="G12" s="113">
        <f>(D12+D14+D16+D17+D15)*1.15</f>
        <v>6094.9999999999991</v>
      </c>
      <c r="H12" s="43"/>
      <c r="I12" s="43"/>
      <c r="J12" s="288"/>
      <c r="K12" s="288"/>
      <c r="L12" s="288" t="s">
        <v>244</v>
      </c>
      <c r="M12" s="288"/>
    </row>
    <row r="13" spans="2:13" x14ac:dyDescent="0.3">
      <c r="C13" s="34"/>
      <c r="D13" s="44"/>
      <c r="E13" s="29"/>
      <c r="F13" s="22"/>
      <c r="G13" s="46"/>
      <c r="J13" s="7"/>
      <c r="K13" s="7"/>
      <c r="L13" s="7"/>
      <c r="M13" s="7"/>
    </row>
    <row r="14" spans="2:13" x14ac:dyDescent="0.3">
      <c r="C14" s="34" t="s">
        <v>85</v>
      </c>
      <c r="D14" s="118">
        <f>D25</f>
        <v>600</v>
      </c>
      <c r="E14" s="29" t="s">
        <v>212</v>
      </c>
      <c r="F14" s="29"/>
      <c r="G14" s="29"/>
      <c r="J14" s="7" t="s">
        <v>220</v>
      </c>
      <c r="K14" s="7" t="s">
        <v>241</v>
      </c>
      <c r="L14" s="7">
        <v>600</v>
      </c>
      <c r="M14" s="7" t="s">
        <v>245</v>
      </c>
    </row>
    <row r="15" spans="2:13" x14ac:dyDescent="0.3">
      <c r="C15" s="34" t="s">
        <v>253</v>
      </c>
      <c r="E15" s="61"/>
      <c r="F15" s="61"/>
      <c r="G15" s="29"/>
      <c r="J15" s="7"/>
      <c r="K15" s="7"/>
      <c r="L15" s="291">
        <f>SUM(L14)</f>
        <v>600</v>
      </c>
      <c r="M15" s="7"/>
    </row>
    <row r="16" spans="2:13" x14ac:dyDescent="0.3">
      <c r="C16" s="34" t="s">
        <v>112</v>
      </c>
      <c r="D16" s="118">
        <f>2*150</f>
        <v>300</v>
      </c>
      <c r="E16" s="239" t="s">
        <v>394</v>
      </c>
      <c r="F16" s="240"/>
      <c r="G16" s="29"/>
      <c r="J16" s="7"/>
      <c r="K16" s="7"/>
      <c r="L16" s="7"/>
      <c r="M16" s="7"/>
    </row>
    <row r="17" spans="3:10" x14ac:dyDescent="0.3">
      <c r="C17" s="34" t="s">
        <v>161</v>
      </c>
      <c r="E17" s="29"/>
      <c r="F17" s="29"/>
      <c r="G17" s="29"/>
      <c r="J17" s="164"/>
    </row>
    <row r="18" spans="3:10" x14ac:dyDescent="0.3">
      <c r="C18" s="34"/>
      <c r="D18" s="47">
        <f>+D12-D14+D16+D17-D15</f>
        <v>4100</v>
      </c>
      <c r="E18" s="22" t="s">
        <v>87</v>
      </c>
      <c r="F18" s="29"/>
      <c r="G18" s="47"/>
    </row>
    <row r="19" spans="3:10" x14ac:dyDescent="0.3">
      <c r="C19" s="34"/>
      <c r="D19" s="22"/>
      <c r="E19" s="29"/>
      <c r="F19" s="29"/>
      <c r="G19" s="244"/>
      <c r="H19" s="29"/>
    </row>
    <row r="20" spans="3:10" x14ac:dyDescent="0.3">
      <c r="C20" s="47" t="s">
        <v>84</v>
      </c>
      <c r="F20" s="29"/>
      <c r="G20" s="244"/>
      <c r="H20" s="29"/>
    </row>
    <row r="21" spans="3:10" x14ac:dyDescent="0.3">
      <c r="C21" s="107"/>
      <c r="D21" s="126"/>
      <c r="E21" s="83"/>
      <c r="F21" s="83"/>
      <c r="G21" s="29"/>
      <c r="H21" s="29"/>
    </row>
    <row r="22" spans="3:10" x14ac:dyDescent="0.3">
      <c r="C22" s="102" t="s">
        <v>220</v>
      </c>
      <c r="D22" s="125">
        <v>600</v>
      </c>
      <c r="E22" s="83"/>
      <c r="F22" s="83"/>
      <c r="G22" s="29"/>
      <c r="H22" s="29"/>
    </row>
    <row r="23" spans="3:10" x14ac:dyDescent="0.3">
      <c r="C23" s="107"/>
      <c r="D23" s="126"/>
      <c r="E23" s="74"/>
      <c r="F23" s="83"/>
      <c r="G23" s="31"/>
      <c r="H23" s="29" t="s">
        <v>121</v>
      </c>
    </row>
    <row r="24" spans="3:10" x14ac:dyDescent="0.3">
      <c r="C24" s="127"/>
      <c r="D24" s="126"/>
      <c r="E24" s="128"/>
      <c r="F24" s="31"/>
      <c r="G24" s="31"/>
      <c r="H24" s="29">
        <f>2*H28</f>
        <v>919.32</v>
      </c>
    </row>
    <row r="25" spans="3:10" ht="15.6" x14ac:dyDescent="0.3">
      <c r="C25" s="109"/>
      <c r="D25" s="129">
        <f>SUM(D21:D24)</f>
        <v>600</v>
      </c>
      <c r="E25" s="29"/>
      <c r="F25" s="29"/>
      <c r="G25" s="29"/>
      <c r="H25" s="29">
        <f>H24-D14</f>
        <v>319.32000000000005</v>
      </c>
    </row>
    <row r="26" spans="3:10" x14ac:dyDescent="0.3">
      <c r="C26" s="47"/>
      <c r="E26" s="29"/>
      <c r="F26" s="29"/>
      <c r="G26" s="29"/>
      <c r="H26" s="29"/>
    </row>
    <row r="27" spans="3:10" x14ac:dyDescent="0.3">
      <c r="C27" s="53"/>
      <c r="F27" s="29"/>
      <c r="G27" s="29"/>
      <c r="H27" s="29"/>
    </row>
    <row r="28" spans="3:10" x14ac:dyDescent="0.3">
      <c r="H28" s="29">
        <v>459.66</v>
      </c>
    </row>
    <row r="29" spans="3:10" x14ac:dyDescent="0.3">
      <c r="H29" s="22"/>
    </row>
    <row r="30" spans="3:10" x14ac:dyDescent="0.3">
      <c r="H30" s="29"/>
    </row>
    <row r="31" spans="3:10" x14ac:dyDescent="0.3">
      <c r="H31" s="69"/>
    </row>
    <row r="32" spans="3:10" x14ac:dyDescent="0.3">
      <c r="H32" s="29"/>
    </row>
    <row r="33" spans="6:9" x14ac:dyDescent="0.3">
      <c r="H33" s="29"/>
    </row>
    <row r="34" spans="6:9" x14ac:dyDescent="0.3">
      <c r="H34" s="29"/>
    </row>
    <row r="35" spans="6:9" x14ac:dyDescent="0.3">
      <c r="F35" s="157"/>
    </row>
    <row r="36" spans="6:9" x14ac:dyDescent="0.3">
      <c r="H36" s="29"/>
    </row>
    <row r="37" spans="6:9" x14ac:dyDescent="0.3">
      <c r="H37" s="29"/>
    </row>
    <row r="38" spans="6:9" x14ac:dyDescent="0.3">
      <c r="H38" s="244"/>
      <c r="I38" s="244"/>
    </row>
    <row r="39" spans="6:9" x14ac:dyDescent="0.3">
      <c r="H39" s="244"/>
      <c r="I39" s="244"/>
    </row>
    <row r="40" spans="6:9" x14ac:dyDescent="0.3">
      <c r="H40" s="56"/>
    </row>
    <row r="43" spans="6:9" x14ac:dyDescent="0.3">
      <c r="H43" s="29"/>
    </row>
    <row r="44" spans="6:9" x14ac:dyDescent="0.3">
      <c r="H44" s="29"/>
    </row>
    <row r="45" spans="6:9" x14ac:dyDescent="0.3">
      <c r="H45" s="29"/>
    </row>
    <row r="46" spans="6:9" x14ac:dyDescent="0.3">
      <c r="H46" s="29"/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09C74-411A-420E-9AAA-E0FBF3E764CB}">
  <sheetPr>
    <tabColor rgb="FFFFFF00"/>
  </sheetPr>
  <dimension ref="B1:Q37"/>
  <sheetViews>
    <sheetView topLeftCell="B10" workbookViewId="0">
      <selection activeCell="G20" sqref="G20"/>
    </sheetView>
  </sheetViews>
  <sheetFormatPr defaultRowHeight="14.4" x14ac:dyDescent="0.3"/>
  <cols>
    <col min="3" max="3" width="49" bestFit="1" customWidth="1"/>
    <col min="4" max="4" width="8.88671875" style="29"/>
    <col min="5" max="5" width="16.109375" bestFit="1" customWidth="1"/>
    <col min="6" max="6" width="17.6640625" bestFit="1" customWidth="1"/>
    <col min="7" max="7" width="7.88671875" customWidth="1"/>
    <col min="8" max="8" width="29.5546875" customWidth="1"/>
    <col min="9" max="9" width="9" customWidth="1"/>
    <col min="10" max="10" width="17.6640625" bestFit="1" customWidth="1"/>
  </cols>
  <sheetData>
    <row r="1" spans="2:14" x14ac:dyDescent="0.3">
      <c r="G1">
        <v>1</v>
      </c>
      <c r="H1" s="167"/>
      <c r="I1">
        <v>1</v>
      </c>
      <c r="J1" s="133" t="s">
        <v>326</v>
      </c>
    </row>
    <row r="2" spans="2:14" x14ac:dyDescent="0.3">
      <c r="C2" s="29"/>
      <c r="E2" s="29"/>
      <c r="G2">
        <v>2</v>
      </c>
      <c r="H2" s="167"/>
      <c r="I2">
        <v>2</v>
      </c>
      <c r="J2" s="133" t="s">
        <v>327</v>
      </c>
    </row>
    <row r="3" spans="2:14" x14ac:dyDescent="0.3">
      <c r="C3" s="29"/>
      <c r="E3" s="29"/>
      <c r="G3">
        <v>3</v>
      </c>
      <c r="H3" s="167"/>
      <c r="I3">
        <v>3</v>
      </c>
      <c r="J3" s="133" t="s">
        <v>328</v>
      </c>
    </row>
    <row r="4" spans="2:14" x14ac:dyDescent="0.3">
      <c r="C4" s="33" t="s">
        <v>83</v>
      </c>
      <c r="D4" s="44"/>
      <c r="E4" s="44" t="s">
        <v>78</v>
      </c>
      <c r="G4">
        <v>4</v>
      </c>
      <c r="H4" s="167"/>
      <c r="I4">
        <v>4</v>
      </c>
      <c r="J4" s="133" t="s">
        <v>329</v>
      </c>
    </row>
    <row r="5" spans="2:14" x14ac:dyDescent="0.3">
      <c r="C5" s="65"/>
      <c r="E5" s="29"/>
      <c r="F5" s="29"/>
      <c r="G5">
        <v>5</v>
      </c>
      <c r="H5" s="167"/>
      <c r="I5">
        <v>5</v>
      </c>
      <c r="J5" s="133" t="s">
        <v>330</v>
      </c>
      <c r="N5" s="70" t="s">
        <v>169</v>
      </c>
    </row>
    <row r="6" spans="2:14" x14ac:dyDescent="0.3">
      <c r="B6">
        <v>1</v>
      </c>
      <c r="C6" s="133" t="s">
        <v>326</v>
      </c>
      <c r="D6" s="29">
        <v>2200</v>
      </c>
      <c r="E6" s="29" t="s">
        <v>172</v>
      </c>
      <c r="F6" s="29"/>
      <c r="G6">
        <v>6</v>
      </c>
      <c r="H6" s="167"/>
      <c r="I6">
        <v>6</v>
      </c>
      <c r="J6" s="133" t="s">
        <v>331</v>
      </c>
      <c r="N6" s="70" t="s">
        <v>170</v>
      </c>
    </row>
    <row r="7" spans="2:14" x14ac:dyDescent="0.3">
      <c r="B7">
        <v>2</v>
      </c>
      <c r="C7" s="133" t="s">
        <v>327</v>
      </c>
      <c r="D7" s="29">
        <v>2200</v>
      </c>
      <c r="E7" s="29" t="s">
        <v>172</v>
      </c>
      <c r="F7" s="29"/>
      <c r="G7">
        <v>7</v>
      </c>
      <c r="H7" s="166"/>
      <c r="I7">
        <v>7</v>
      </c>
      <c r="J7" s="76" t="s">
        <v>332</v>
      </c>
    </row>
    <row r="8" spans="2:14" x14ac:dyDescent="0.3">
      <c r="B8">
        <v>3</v>
      </c>
      <c r="C8" s="133" t="s">
        <v>328</v>
      </c>
      <c r="D8" s="29">
        <v>2200</v>
      </c>
      <c r="E8" s="29" t="s">
        <v>172</v>
      </c>
      <c r="F8" s="52"/>
      <c r="G8">
        <v>8</v>
      </c>
      <c r="H8" s="167"/>
      <c r="I8">
        <v>8</v>
      </c>
      <c r="J8" s="133" t="s">
        <v>333</v>
      </c>
    </row>
    <row r="9" spans="2:14" x14ac:dyDescent="0.3">
      <c r="B9">
        <v>4</v>
      </c>
      <c r="C9" s="133" t="s">
        <v>329</v>
      </c>
      <c r="D9" s="29">
        <v>2200</v>
      </c>
      <c r="E9" s="29" t="s">
        <v>172</v>
      </c>
      <c r="F9" s="52"/>
      <c r="G9">
        <v>9</v>
      </c>
      <c r="H9" s="165"/>
      <c r="I9">
        <v>9</v>
      </c>
      <c r="J9" s="76" t="s">
        <v>334</v>
      </c>
    </row>
    <row r="10" spans="2:14" x14ac:dyDescent="0.3">
      <c r="B10">
        <v>5</v>
      </c>
      <c r="C10" s="133" t="s">
        <v>330</v>
      </c>
      <c r="D10" s="29">
        <v>2200</v>
      </c>
      <c r="E10" s="29" t="s">
        <v>172</v>
      </c>
      <c r="F10" s="52"/>
      <c r="H10" s="167"/>
      <c r="I10">
        <v>10</v>
      </c>
      <c r="J10" s="133" t="s">
        <v>335</v>
      </c>
    </row>
    <row r="11" spans="2:14" x14ac:dyDescent="0.3">
      <c r="B11">
        <v>6</v>
      </c>
      <c r="C11" s="133" t="s">
        <v>331</v>
      </c>
      <c r="D11" s="29">
        <v>2200</v>
      </c>
      <c r="E11" s="29" t="s">
        <v>172</v>
      </c>
      <c r="F11" s="52"/>
      <c r="H11" s="167"/>
      <c r="I11">
        <v>11</v>
      </c>
      <c r="J11" s="133" t="s">
        <v>336</v>
      </c>
      <c r="K11" s="157">
        <f>12*2200</f>
        <v>26400</v>
      </c>
    </row>
    <row r="12" spans="2:14" x14ac:dyDescent="0.3">
      <c r="B12">
        <v>7</v>
      </c>
      <c r="C12" s="76" t="s">
        <v>332</v>
      </c>
      <c r="D12" s="29">
        <v>2200</v>
      </c>
      <c r="E12" s="29" t="s">
        <v>172</v>
      </c>
      <c r="F12" s="52"/>
      <c r="H12" s="166"/>
      <c r="I12">
        <v>12</v>
      </c>
      <c r="J12" s="133" t="s">
        <v>337</v>
      </c>
      <c r="K12" s="157">
        <f>12*150</f>
        <v>1800</v>
      </c>
    </row>
    <row r="13" spans="2:14" x14ac:dyDescent="0.3">
      <c r="B13">
        <v>8</v>
      </c>
      <c r="C13" s="76" t="s">
        <v>333</v>
      </c>
      <c r="D13" s="29">
        <v>2200</v>
      </c>
      <c r="E13" s="29" t="s">
        <v>172</v>
      </c>
      <c r="F13" s="52"/>
      <c r="H13" s="166"/>
    </row>
    <row r="14" spans="2:14" x14ac:dyDescent="0.3">
      <c r="B14">
        <v>9</v>
      </c>
      <c r="C14" s="133" t="s">
        <v>334</v>
      </c>
      <c r="D14" s="29">
        <v>2200</v>
      </c>
      <c r="E14" s="29" t="s">
        <v>172</v>
      </c>
      <c r="F14" s="52"/>
      <c r="H14" s="167"/>
      <c r="J14" s="29" t="s">
        <v>212</v>
      </c>
    </row>
    <row r="15" spans="2:14" x14ac:dyDescent="0.3">
      <c r="B15">
        <v>10</v>
      </c>
      <c r="C15" s="65" t="s">
        <v>335</v>
      </c>
      <c r="D15" s="29">
        <v>2200</v>
      </c>
      <c r="E15" s="29" t="s">
        <v>172</v>
      </c>
      <c r="F15" s="52"/>
      <c r="H15" s="165"/>
      <c r="J15" s="153" t="s">
        <v>221</v>
      </c>
      <c r="K15" s="226">
        <v>1400</v>
      </c>
    </row>
    <row r="16" spans="2:14" x14ac:dyDescent="0.3">
      <c r="B16">
        <v>11</v>
      </c>
      <c r="C16" s="65" t="s">
        <v>336</v>
      </c>
      <c r="D16" s="29">
        <v>2200</v>
      </c>
      <c r="E16" s="29" t="s">
        <v>172</v>
      </c>
      <c r="F16" s="52"/>
      <c r="H16" s="165"/>
      <c r="J16" s="102" t="s">
        <v>232</v>
      </c>
      <c r="K16" s="226">
        <v>1400</v>
      </c>
    </row>
    <row r="17" spans="2:17" x14ac:dyDescent="0.3">
      <c r="B17">
        <v>12</v>
      </c>
      <c r="C17" s="65" t="s">
        <v>337</v>
      </c>
      <c r="D17" s="29">
        <v>2200</v>
      </c>
      <c r="E17" s="29" t="s">
        <v>172</v>
      </c>
      <c r="F17" s="52"/>
      <c r="H17" s="166"/>
      <c r="J17" s="102" t="s">
        <v>231</v>
      </c>
      <c r="K17" s="107">
        <v>1400</v>
      </c>
    </row>
    <row r="18" spans="2:17" x14ac:dyDescent="0.3">
      <c r="C18" s="151"/>
      <c r="D18" s="22"/>
      <c r="E18" s="29"/>
      <c r="F18" s="29"/>
      <c r="G18" s="29">
        <f>G19/1.15</f>
        <v>34200</v>
      </c>
      <c r="H18" s="29"/>
      <c r="J18" s="102" t="s">
        <v>228</v>
      </c>
      <c r="K18" s="226">
        <v>1400</v>
      </c>
    </row>
    <row r="19" spans="2:17" x14ac:dyDescent="0.3">
      <c r="C19" s="60" t="s">
        <v>178</v>
      </c>
      <c r="D19" s="45">
        <f>SUM(D5:D18)</f>
        <v>26400</v>
      </c>
      <c r="E19" s="29" t="s">
        <v>86</v>
      </c>
      <c r="F19" s="22" t="s">
        <v>77</v>
      </c>
      <c r="G19" s="22">
        <f>+(D19+D21+D22+D23+D24)*1.15</f>
        <v>39330</v>
      </c>
      <c r="H19" s="29"/>
      <c r="J19" s="102"/>
      <c r="K19" s="108"/>
    </row>
    <row r="20" spans="2:17" x14ac:dyDescent="0.3">
      <c r="C20" s="34"/>
      <c r="D20" s="44"/>
      <c r="E20" s="29"/>
      <c r="F20" s="22"/>
      <c r="G20" s="46"/>
      <c r="H20" s="29"/>
      <c r="K20">
        <f>SUM(K15:K19)</f>
        <v>5600</v>
      </c>
    </row>
    <row r="21" spans="2:17" x14ac:dyDescent="0.3">
      <c r="C21" s="34" t="s">
        <v>85</v>
      </c>
      <c r="D21" s="118">
        <f>D34</f>
        <v>5600</v>
      </c>
      <c r="E21" s="29" t="s">
        <v>246</v>
      </c>
      <c r="F21" s="29"/>
      <c r="G21" s="46"/>
      <c r="H21" s="29"/>
    </row>
    <row r="22" spans="2:17" x14ac:dyDescent="0.3">
      <c r="C22" s="85" t="s">
        <v>253</v>
      </c>
      <c r="E22" s="61"/>
      <c r="F22" s="61"/>
      <c r="G22" s="46"/>
      <c r="H22" s="29"/>
      <c r="J22" s="274" t="s">
        <v>265</v>
      </c>
      <c r="K22" s="247"/>
      <c r="L22" s="247"/>
      <c r="M22" s="247"/>
      <c r="N22" s="247"/>
      <c r="O22" s="247"/>
      <c r="P22" s="247"/>
      <c r="Q22" s="247"/>
    </row>
    <row r="23" spans="2:17" x14ac:dyDescent="0.3">
      <c r="C23" s="34" t="s">
        <v>112</v>
      </c>
      <c r="D23" s="118">
        <f>12*150</f>
        <v>1800</v>
      </c>
      <c r="E23" s="29" t="s">
        <v>601</v>
      </c>
      <c r="F23" s="29"/>
      <c r="G23" s="46"/>
      <c r="H23" s="29"/>
      <c r="J23" s="261" t="s">
        <v>299</v>
      </c>
      <c r="K23" s="261"/>
      <c r="L23" s="261" t="s">
        <v>257</v>
      </c>
      <c r="M23" s="261">
        <v>39.619999999999997</v>
      </c>
      <c r="N23" s="262" t="s">
        <v>172</v>
      </c>
      <c r="O23" s="261" t="s">
        <v>325</v>
      </c>
      <c r="P23" s="261" t="s">
        <v>261</v>
      </c>
      <c r="Q23" s="24">
        <v>200</v>
      </c>
    </row>
    <row r="24" spans="2:17" x14ac:dyDescent="0.3">
      <c r="C24" s="34" t="s">
        <v>161</v>
      </c>
      <c r="D24" s="118">
        <f>200*2</f>
        <v>400</v>
      </c>
      <c r="E24" s="29" t="s">
        <v>178</v>
      </c>
      <c r="F24" s="29"/>
      <c r="G24" s="46"/>
      <c r="H24" s="29"/>
      <c r="J24" s="261" t="s">
        <v>262</v>
      </c>
      <c r="K24" s="261"/>
      <c r="L24" s="261" t="s">
        <v>257</v>
      </c>
      <c r="M24" s="261">
        <v>38.32</v>
      </c>
      <c r="N24" s="262" t="s">
        <v>172</v>
      </c>
      <c r="O24" s="261" t="s">
        <v>325</v>
      </c>
      <c r="P24" s="261" t="s">
        <v>261</v>
      </c>
      <c r="Q24" s="24">
        <v>200</v>
      </c>
    </row>
    <row r="25" spans="2:17" x14ac:dyDescent="0.3">
      <c r="C25" s="34"/>
      <c r="D25" s="47">
        <f>+D19-D21+D23+D24-D22</f>
        <v>23000</v>
      </c>
      <c r="E25" s="22" t="s">
        <v>87</v>
      </c>
      <c r="F25" s="29"/>
      <c r="G25" s="46"/>
      <c r="H25" s="29"/>
      <c r="J25" s="247"/>
      <c r="K25" s="247"/>
      <c r="L25" s="247"/>
      <c r="M25" s="247"/>
      <c r="N25" s="247"/>
      <c r="O25" s="247"/>
      <c r="P25" s="247"/>
      <c r="Q25" s="269">
        <f>SUM(Q23:Q24)</f>
        <v>400</v>
      </c>
    </row>
    <row r="26" spans="2:17" x14ac:dyDescent="0.3">
      <c r="C26" s="34"/>
      <c r="D26" s="22"/>
      <c r="E26" s="29"/>
      <c r="F26" s="29"/>
      <c r="G26" s="31"/>
      <c r="H26" s="22"/>
    </row>
    <row r="27" spans="2:17" x14ac:dyDescent="0.3">
      <c r="C27" s="47" t="s">
        <v>84</v>
      </c>
      <c r="F27" s="29"/>
      <c r="G27" s="31"/>
      <c r="H27" s="29"/>
    </row>
    <row r="28" spans="2:17" x14ac:dyDescent="0.3">
      <c r="C28" s="153" t="s">
        <v>221</v>
      </c>
      <c r="D28" s="226">
        <v>1400</v>
      </c>
      <c r="E28" s="83"/>
      <c r="F28" s="83"/>
      <c r="G28" s="29"/>
      <c r="H28" s="29"/>
    </row>
    <row r="29" spans="2:17" x14ac:dyDescent="0.3">
      <c r="C29" s="102" t="s">
        <v>232</v>
      </c>
      <c r="D29" s="226">
        <v>1400</v>
      </c>
      <c r="E29" s="83"/>
      <c r="F29" s="83"/>
      <c r="G29" s="29"/>
    </row>
    <row r="30" spans="2:17" x14ac:dyDescent="0.3">
      <c r="C30" s="102" t="s">
        <v>231</v>
      </c>
      <c r="D30" s="107">
        <v>1400</v>
      </c>
      <c r="E30" s="74"/>
      <c r="F30" s="83"/>
      <c r="G30" s="29"/>
    </row>
    <row r="31" spans="2:17" x14ac:dyDescent="0.3">
      <c r="B31" s="53"/>
      <c r="C31" s="102" t="s">
        <v>228</v>
      </c>
      <c r="D31" s="226">
        <v>1400</v>
      </c>
      <c r="E31" s="86"/>
      <c r="F31" s="64"/>
    </row>
    <row r="32" spans="2:17" x14ac:dyDescent="0.3">
      <c r="B32" s="53"/>
      <c r="C32" s="102"/>
      <c r="D32" s="108"/>
      <c r="E32" s="86"/>
      <c r="F32" s="64"/>
    </row>
    <row r="33" spans="2:6" x14ac:dyDescent="0.3">
      <c r="B33" s="53"/>
      <c r="C33" s="102"/>
      <c r="D33" s="102"/>
      <c r="E33" s="74"/>
      <c r="F33" s="64"/>
    </row>
    <row r="34" spans="2:6" x14ac:dyDescent="0.3">
      <c r="C34" s="107"/>
      <c r="D34" s="130">
        <f>SUM(D28:D33)</f>
        <v>5600</v>
      </c>
      <c r="E34" s="63"/>
      <c r="F34" s="31"/>
    </row>
    <row r="35" spans="2:6" ht="15.6" x14ac:dyDescent="0.3">
      <c r="C35" s="55"/>
      <c r="D35" s="79"/>
      <c r="E35" s="29"/>
      <c r="F35" s="29"/>
    </row>
    <row r="36" spans="2:6" x14ac:dyDescent="0.3">
      <c r="C36" s="47"/>
      <c r="E36" s="29"/>
      <c r="F36" s="29"/>
    </row>
    <row r="37" spans="2:6" x14ac:dyDescent="0.3">
      <c r="F37" s="29"/>
    </row>
  </sheetData>
  <pageMargins left="0.7" right="0.7" top="0.75" bottom="0.75" header="0.3" footer="0.3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35604-5E89-41AA-ACF1-F5622A0FCCDB}">
  <sheetPr>
    <tabColor rgb="FFFFFF00"/>
  </sheetPr>
  <dimension ref="A1:L31"/>
  <sheetViews>
    <sheetView tabSelected="1" workbookViewId="0">
      <selection activeCell="B24" sqref="B24:C24"/>
    </sheetView>
  </sheetViews>
  <sheetFormatPr defaultRowHeight="14.4" x14ac:dyDescent="0.3"/>
  <cols>
    <col min="2" max="2" width="49" bestFit="1" customWidth="1"/>
    <col min="3" max="3" width="8.88671875" style="29"/>
    <col min="4" max="4" width="16.109375" bestFit="1" customWidth="1"/>
    <col min="5" max="5" width="17.6640625" bestFit="1" customWidth="1"/>
    <col min="6" max="6" width="7.88671875" customWidth="1"/>
    <col min="7" max="7" width="28.6640625" customWidth="1"/>
    <col min="8" max="8" width="9" customWidth="1"/>
    <col min="9" max="9" width="17.6640625" bestFit="1" customWidth="1"/>
  </cols>
  <sheetData>
    <row r="1" spans="1:12" x14ac:dyDescent="0.3">
      <c r="B1" s="29"/>
      <c r="D1" s="29"/>
      <c r="E1" s="29"/>
      <c r="G1" s="167"/>
    </row>
    <row r="2" spans="1:12" x14ac:dyDescent="0.3">
      <c r="B2" s="29"/>
      <c r="D2" s="29"/>
      <c r="E2" s="29"/>
      <c r="G2" s="167"/>
    </row>
    <row r="3" spans="1:12" x14ac:dyDescent="0.3">
      <c r="B3" s="33" t="s">
        <v>83</v>
      </c>
      <c r="C3" s="44"/>
      <c r="D3" s="44" t="s">
        <v>78</v>
      </c>
      <c r="E3" s="29"/>
      <c r="G3" s="167"/>
    </row>
    <row r="4" spans="1:12" x14ac:dyDescent="0.3">
      <c r="B4" s="65"/>
      <c r="D4" s="29"/>
      <c r="E4" s="52"/>
      <c r="G4" s="167"/>
      <c r="H4" s="70" t="s">
        <v>169</v>
      </c>
    </row>
    <row r="5" spans="1:12" x14ac:dyDescent="0.3">
      <c r="A5">
        <v>1</v>
      </c>
      <c r="B5" s="133" t="s">
        <v>366</v>
      </c>
      <c r="C5" s="29">
        <v>2200</v>
      </c>
      <c r="D5" s="29" t="s">
        <v>247</v>
      </c>
      <c r="E5" s="52"/>
      <c r="G5" s="167"/>
      <c r="H5" s="70" t="s">
        <v>170</v>
      </c>
    </row>
    <row r="6" spans="1:12" x14ac:dyDescent="0.3">
      <c r="A6">
        <v>2</v>
      </c>
      <c r="B6" s="133"/>
      <c r="D6" s="29"/>
      <c r="E6" s="52"/>
      <c r="G6" s="167"/>
    </row>
    <row r="7" spans="1:12" x14ac:dyDescent="0.3">
      <c r="A7">
        <v>3</v>
      </c>
      <c r="B7" s="133"/>
      <c r="D7" s="29"/>
      <c r="E7" s="52"/>
      <c r="G7" s="167"/>
    </row>
    <row r="8" spans="1:12" x14ac:dyDescent="0.3">
      <c r="A8">
        <v>4</v>
      </c>
      <c r="B8" s="133"/>
      <c r="D8" s="29"/>
      <c r="E8" s="52"/>
      <c r="G8" s="166"/>
    </row>
    <row r="9" spans="1:12" x14ac:dyDescent="0.3">
      <c r="A9">
        <v>5</v>
      </c>
      <c r="B9" s="133"/>
      <c r="D9" s="29"/>
      <c r="E9" s="52"/>
      <c r="G9" s="166"/>
    </row>
    <row r="10" spans="1:12" x14ac:dyDescent="0.3">
      <c r="A10">
        <v>6</v>
      </c>
      <c r="B10" s="133"/>
      <c r="D10" s="29"/>
      <c r="E10" s="52"/>
      <c r="G10" s="167"/>
      <c r="I10" s="29"/>
      <c r="K10" t="s">
        <v>212</v>
      </c>
    </row>
    <row r="11" spans="1:12" x14ac:dyDescent="0.3">
      <c r="A11">
        <v>7</v>
      </c>
      <c r="B11" s="76"/>
      <c r="D11" s="29"/>
      <c r="E11" s="52"/>
      <c r="G11" s="165"/>
      <c r="I11" s="257"/>
      <c r="J11" s="257"/>
      <c r="K11" s="257" t="s">
        <v>250</v>
      </c>
      <c r="L11" s="257"/>
    </row>
    <row r="12" spans="1:12" x14ac:dyDescent="0.3">
      <c r="A12">
        <v>8</v>
      </c>
      <c r="B12" s="76"/>
      <c r="D12" s="29"/>
      <c r="E12" s="52"/>
      <c r="G12" s="165"/>
      <c r="I12" s="230"/>
      <c r="J12" s="230"/>
      <c r="K12" s="230"/>
      <c r="L12" s="230"/>
    </row>
    <row r="13" spans="1:12" x14ac:dyDescent="0.3">
      <c r="A13">
        <v>9</v>
      </c>
      <c r="B13" s="133"/>
      <c r="D13" s="29"/>
      <c r="E13" s="52"/>
      <c r="G13" s="166"/>
      <c r="I13" s="230" t="s">
        <v>251</v>
      </c>
      <c r="J13" s="230" t="s">
        <v>241</v>
      </c>
      <c r="K13" s="230">
        <v>400</v>
      </c>
      <c r="L13" s="230" t="s">
        <v>247</v>
      </c>
    </row>
    <row r="14" spans="1:12" x14ac:dyDescent="0.3">
      <c r="B14" s="151"/>
      <c r="C14" s="22"/>
      <c r="D14" s="29"/>
      <c r="E14" s="29"/>
      <c r="F14" s="29">
        <f>F15/1.15</f>
        <v>2750</v>
      </c>
      <c r="G14" s="29"/>
      <c r="K14">
        <f>SUM(K13)</f>
        <v>400</v>
      </c>
    </row>
    <row r="15" spans="1:12" x14ac:dyDescent="0.3">
      <c r="B15" s="60"/>
      <c r="C15" s="45">
        <f>SUM(C4:C14)</f>
        <v>2200</v>
      </c>
      <c r="D15" s="29" t="s">
        <v>86</v>
      </c>
      <c r="E15" s="22" t="s">
        <v>77</v>
      </c>
      <c r="F15" s="22">
        <f>+(C15+C17+C18+C19+C20)*1.15</f>
        <v>3162.4999999999995</v>
      </c>
      <c r="G15" s="29"/>
    </row>
    <row r="16" spans="1:12" x14ac:dyDescent="0.3">
      <c r="B16" s="34"/>
      <c r="C16" s="44"/>
      <c r="D16" s="29"/>
      <c r="E16" s="22"/>
      <c r="F16" s="46"/>
      <c r="G16" s="29"/>
    </row>
    <row r="17" spans="1:11" x14ac:dyDescent="0.3">
      <c r="B17" s="34" t="s">
        <v>85</v>
      </c>
      <c r="C17" s="118">
        <f>C26</f>
        <v>400</v>
      </c>
      <c r="D17" s="29" t="s">
        <v>178</v>
      </c>
      <c r="E17" s="29"/>
      <c r="F17" s="46"/>
      <c r="G17" s="29"/>
      <c r="H17">
        <v>1</v>
      </c>
      <c r="I17" s="236" t="s">
        <v>366</v>
      </c>
      <c r="J17">
        <f>150</f>
        <v>150</v>
      </c>
      <c r="K17" t="s">
        <v>661</v>
      </c>
    </row>
    <row r="18" spans="1:11" x14ac:dyDescent="0.3">
      <c r="B18" s="85" t="s">
        <v>253</v>
      </c>
      <c r="D18" s="61"/>
      <c r="E18" s="61"/>
      <c r="F18" s="46"/>
      <c r="G18" s="29"/>
    </row>
    <row r="19" spans="1:11" x14ac:dyDescent="0.3">
      <c r="B19" s="34" t="s">
        <v>112</v>
      </c>
      <c r="C19" s="29">
        <f>150</f>
        <v>150</v>
      </c>
      <c r="D19" s="29" t="s">
        <v>178</v>
      </c>
      <c r="E19" s="29"/>
      <c r="F19" s="46"/>
      <c r="G19" s="29"/>
    </row>
    <row r="20" spans="1:11" x14ac:dyDescent="0.3">
      <c r="B20" s="34" t="s">
        <v>161</v>
      </c>
      <c r="D20" s="29"/>
      <c r="E20" s="29"/>
      <c r="F20" s="46"/>
      <c r="G20" s="29"/>
    </row>
    <row r="21" spans="1:11" x14ac:dyDescent="0.3">
      <c r="B21" s="34"/>
      <c r="C21" s="47">
        <f>+C15-C17+C19+C20-C18</f>
        <v>1950</v>
      </c>
      <c r="D21" s="22" t="s">
        <v>87</v>
      </c>
      <c r="E21" s="29"/>
      <c r="F21" s="158"/>
      <c r="G21" s="29"/>
    </row>
    <row r="22" spans="1:11" x14ac:dyDescent="0.3">
      <c r="B22" s="34"/>
      <c r="C22" s="22"/>
      <c r="D22" s="29"/>
      <c r="E22" s="29"/>
      <c r="F22" s="158"/>
      <c r="G22" s="22"/>
    </row>
    <row r="23" spans="1:11" x14ac:dyDescent="0.3">
      <c r="B23" s="47" t="s">
        <v>84</v>
      </c>
      <c r="E23" s="29"/>
      <c r="F23" s="47"/>
      <c r="G23" s="29"/>
    </row>
    <row r="24" spans="1:11" x14ac:dyDescent="0.3">
      <c r="B24" s="153" t="s">
        <v>252</v>
      </c>
      <c r="C24" s="226">
        <v>400</v>
      </c>
      <c r="D24" s="83"/>
      <c r="E24" s="83"/>
      <c r="F24" s="259"/>
      <c r="G24" s="29"/>
    </row>
    <row r="25" spans="1:11" x14ac:dyDescent="0.3">
      <c r="B25" s="102"/>
      <c r="C25" s="226"/>
      <c r="D25" s="83"/>
      <c r="E25" s="83"/>
      <c r="F25" s="259"/>
      <c r="G25" s="29"/>
    </row>
    <row r="26" spans="1:11" x14ac:dyDescent="0.3">
      <c r="A26" s="53"/>
      <c r="B26" s="107"/>
      <c r="C26" s="130">
        <f>SUM(C24:C25)</f>
        <v>400</v>
      </c>
      <c r="D26" s="63"/>
      <c r="E26" s="31"/>
      <c r="F26" s="31"/>
    </row>
    <row r="27" spans="1:11" ht="15.6" x14ac:dyDescent="0.3">
      <c r="A27" s="53"/>
      <c r="B27" s="55"/>
      <c r="C27" s="79"/>
      <c r="D27" s="29"/>
      <c r="E27" s="29"/>
      <c r="F27" s="31"/>
    </row>
    <row r="28" spans="1:11" x14ac:dyDescent="0.3">
      <c r="B28" s="47"/>
      <c r="D28" s="29"/>
      <c r="E28" s="29"/>
      <c r="F28" s="31"/>
    </row>
    <row r="29" spans="1:11" x14ac:dyDescent="0.3">
      <c r="E29" s="29"/>
      <c r="F29" s="29"/>
    </row>
    <row r="30" spans="1:11" x14ac:dyDescent="0.3">
      <c r="F30" s="29"/>
    </row>
    <row r="31" spans="1:11" x14ac:dyDescent="0.3">
      <c r="F31" s="29"/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A44F-EE54-4ECA-821A-E1A750D9A0A1}">
  <sheetPr>
    <tabColor theme="5" tint="0.39997558519241921"/>
  </sheetPr>
  <dimension ref="A3:O36"/>
  <sheetViews>
    <sheetView topLeftCell="A9" workbookViewId="0">
      <selection activeCell="F33" sqref="F33"/>
    </sheetView>
  </sheetViews>
  <sheetFormatPr defaultRowHeight="14.4" x14ac:dyDescent="0.3"/>
  <cols>
    <col min="2" max="2" width="30.6640625" bestFit="1" customWidth="1"/>
    <col min="4" max="4" width="16.109375" bestFit="1" customWidth="1"/>
    <col min="5" max="5" width="12" customWidth="1"/>
    <col min="6" max="6" width="12.109375" customWidth="1"/>
    <col min="7" max="7" width="15.44140625" customWidth="1"/>
    <col min="8" max="8" width="24.5546875" bestFit="1" customWidth="1"/>
    <col min="9" max="9" width="35.6640625" bestFit="1" customWidth="1"/>
  </cols>
  <sheetData>
    <row r="3" spans="1:15" ht="16.2" customHeight="1" x14ac:dyDescent="0.45">
      <c r="B3" s="250"/>
    </row>
    <row r="4" spans="1:15" x14ac:dyDescent="0.3">
      <c r="H4" s="56"/>
    </row>
    <row r="5" spans="1:15" x14ac:dyDescent="0.3">
      <c r="B5" s="33" t="s">
        <v>83</v>
      </c>
      <c r="C5" s="44"/>
      <c r="D5" s="44" t="s">
        <v>78</v>
      </c>
      <c r="F5" s="52"/>
      <c r="G5" s="52"/>
      <c r="H5" s="56"/>
      <c r="I5" t="s">
        <v>343</v>
      </c>
    </row>
    <row r="6" spans="1:15" x14ac:dyDescent="0.3">
      <c r="A6">
        <v>1</v>
      </c>
      <c r="B6" s="131" t="s">
        <v>266</v>
      </c>
      <c r="C6">
        <v>2200</v>
      </c>
      <c r="D6" s="29" t="s">
        <v>159</v>
      </c>
      <c r="E6" s="162" t="s">
        <v>180</v>
      </c>
      <c r="F6" s="52"/>
      <c r="G6" s="52"/>
      <c r="H6">
        <v>1</v>
      </c>
      <c r="I6" s="279" t="s">
        <v>266</v>
      </c>
      <c r="O6" s="52" t="s">
        <v>149</v>
      </c>
    </row>
    <row r="7" spans="1:15" x14ac:dyDescent="0.3">
      <c r="A7">
        <v>2</v>
      </c>
      <c r="B7" s="132" t="s">
        <v>267</v>
      </c>
      <c r="C7">
        <v>2200</v>
      </c>
      <c r="D7" s="29" t="s">
        <v>159</v>
      </c>
      <c r="E7" s="152" t="s">
        <v>180</v>
      </c>
      <c r="F7" s="52"/>
      <c r="G7" s="52"/>
      <c r="H7">
        <v>2</v>
      </c>
      <c r="I7" s="280" t="s">
        <v>267</v>
      </c>
      <c r="O7" s="70" t="s">
        <v>150</v>
      </c>
    </row>
    <row r="8" spans="1:15" x14ac:dyDescent="0.3">
      <c r="A8">
        <v>3</v>
      </c>
      <c r="B8" s="131" t="s">
        <v>268</v>
      </c>
      <c r="C8">
        <v>2200</v>
      </c>
      <c r="D8" s="29" t="s">
        <v>159</v>
      </c>
      <c r="E8" s="52"/>
      <c r="F8" s="52"/>
      <c r="G8" s="52"/>
      <c r="H8">
        <v>3</v>
      </c>
      <c r="I8" s="279" t="s">
        <v>268</v>
      </c>
      <c r="O8" s="70" t="s">
        <v>169</v>
      </c>
    </row>
    <row r="9" spans="1:15" x14ac:dyDescent="0.3">
      <c r="A9">
        <v>4</v>
      </c>
      <c r="B9" s="131" t="s">
        <v>269</v>
      </c>
      <c r="C9">
        <v>2200</v>
      </c>
      <c r="D9" s="29" t="s">
        <v>159</v>
      </c>
      <c r="E9" s="52"/>
      <c r="F9" s="52"/>
      <c r="G9" s="52"/>
      <c r="H9">
        <v>4</v>
      </c>
      <c r="I9" s="279" t="s">
        <v>269</v>
      </c>
      <c r="O9" s="70" t="s">
        <v>170</v>
      </c>
    </row>
    <row r="10" spans="1:15" x14ac:dyDescent="0.3">
      <c r="A10">
        <v>5</v>
      </c>
      <c r="B10" s="131" t="s">
        <v>270</v>
      </c>
      <c r="C10">
        <v>2200</v>
      </c>
      <c r="D10" s="29" t="s">
        <v>159</v>
      </c>
      <c r="E10" s="52"/>
      <c r="F10" s="52"/>
      <c r="G10" s="52"/>
      <c r="H10">
        <v>5</v>
      </c>
      <c r="I10" s="279" t="s">
        <v>270</v>
      </c>
    </row>
    <row r="11" spans="1:15" x14ac:dyDescent="0.3">
      <c r="A11">
        <v>6</v>
      </c>
      <c r="B11" s="131" t="s">
        <v>271</v>
      </c>
      <c r="C11">
        <v>2200</v>
      </c>
      <c r="D11" s="29" t="s">
        <v>159</v>
      </c>
      <c r="E11" s="52"/>
      <c r="F11" s="52"/>
      <c r="G11" s="52"/>
      <c r="H11">
        <v>6</v>
      </c>
      <c r="I11" s="279" t="s">
        <v>271</v>
      </c>
    </row>
    <row r="12" spans="1:15" x14ac:dyDescent="0.3">
      <c r="A12">
        <v>7</v>
      </c>
      <c r="B12" s="131" t="s">
        <v>272</v>
      </c>
      <c r="C12">
        <v>2200</v>
      </c>
      <c r="D12" s="29" t="s">
        <v>159</v>
      </c>
      <c r="E12" s="52"/>
      <c r="F12" s="52"/>
      <c r="G12" s="52"/>
      <c r="H12">
        <v>7</v>
      </c>
      <c r="I12" s="279" t="s">
        <v>272</v>
      </c>
    </row>
    <row r="13" spans="1:15" x14ac:dyDescent="0.3">
      <c r="A13">
        <v>8</v>
      </c>
      <c r="B13" s="131" t="s">
        <v>273</v>
      </c>
      <c r="C13">
        <v>2200</v>
      </c>
      <c r="D13" s="29" t="s">
        <v>159</v>
      </c>
      <c r="E13" s="52"/>
      <c r="F13" s="52"/>
      <c r="G13" s="52"/>
      <c r="H13">
        <v>8</v>
      </c>
      <c r="I13" s="279" t="s">
        <v>273</v>
      </c>
    </row>
    <row r="14" spans="1:15" x14ac:dyDescent="0.3">
      <c r="A14">
        <v>9</v>
      </c>
      <c r="B14" s="131" t="s">
        <v>274</v>
      </c>
      <c r="C14">
        <v>2200</v>
      </c>
      <c r="D14" s="29" t="s">
        <v>159</v>
      </c>
      <c r="E14" s="52"/>
      <c r="F14" s="52"/>
      <c r="G14" s="52"/>
      <c r="H14">
        <v>9</v>
      </c>
      <c r="I14" s="279" t="s">
        <v>274</v>
      </c>
      <c r="J14" s="70"/>
    </row>
    <row r="15" spans="1:15" x14ac:dyDescent="0.3">
      <c r="A15">
        <v>10</v>
      </c>
      <c r="B15" s="131" t="s">
        <v>275</v>
      </c>
      <c r="C15">
        <v>2200</v>
      </c>
      <c r="D15" s="29" t="s">
        <v>159</v>
      </c>
      <c r="E15" s="52"/>
      <c r="F15" s="52"/>
      <c r="G15" s="52"/>
      <c r="H15">
        <v>10</v>
      </c>
      <c r="I15" s="279" t="s">
        <v>275</v>
      </c>
      <c r="J15" s="70"/>
    </row>
    <row r="16" spans="1:15" x14ac:dyDescent="0.3">
      <c r="A16">
        <v>11</v>
      </c>
      <c r="B16" s="131" t="s">
        <v>276</v>
      </c>
      <c r="C16">
        <v>2200</v>
      </c>
      <c r="D16" s="29" t="s">
        <v>159</v>
      </c>
      <c r="E16" s="52"/>
      <c r="F16" s="52"/>
      <c r="G16" s="52"/>
      <c r="H16">
        <v>11</v>
      </c>
      <c r="I16" s="279" t="s">
        <v>276</v>
      </c>
      <c r="J16" s="70"/>
    </row>
    <row r="17" spans="1:11" x14ac:dyDescent="0.3">
      <c r="A17">
        <v>12</v>
      </c>
      <c r="B17" s="131" t="s">
        <v>277</v>
      </c>
      <c r="C17">
        <v>2200</v>
      </c>
      <c r="D17" s="29" t="s">
        <v>159</v>
      </c>
      <c r="E17" s="52"/>
      <c r="F17" s="52"/>
      <c r="G17" s="52"/>
      <c r="H17">
        <v>12</v>
      </c>
      <c r="I17" s="279" t="s">
        <v>277</v>
      </c>
      <c r="J17" s="70">
        <f>13*2200</f>
        <v>28600</v>
      </c>
      <c r="K17" t="s">
        <v>8</v>
      </c>
    </row>
    <row r="18" spans="1:11" x14ac:dyDescent="0.3">
      <c r="A18">
        <v>13</v>
      </c>
      <c r="B18" s="131" t="s">
        <v>278</v>
      </c>
      <c r="C18">
        <v>2200</v>
      </c>
      <c r="D18" s="29" t="s">
        <v>159</v>
      </c>
      <c r="E18" s="52"/>
      <c r="F18" s="52"/>
      <c r="G18" s="52"/>
      <c r="H18">
        <v>13</v>
      </c>
      <c r="I18" s="279" t="s">
        <v>278</v>
      </c>
      <c r="J18" s="70">
        <f>13*150</f>
        <v>1950</v>
      </c>
      <c r="K18" t="s">
        <v>342</v>
      </c>
    </row>
    <row r="19" spans="1:11" x14ac:dyDescent="0.3">
      <c r="D19" s="29"/>
      <c r="E19" s="52" t="s">
        <v>178</v>
      </c>
      <c r="F19" s="52"/>
      <c r="G19" s="52"/>
      <c r="I19" s="245"/>
      <c r="J19" s="70"/>
    </row>
    <row r="20" spans="1:11" x14ac:dyDescent="0.3">
      <c r="B20" s="114"/>
      <c r="C20" s="45">
        <f>SUM(C6:C19)</f>
        <v>28600</v>
      </c>
      <c r="D20" s="29" t="s">
        <v>86</v>
      </c>
      <c r="E20" s="29"/>
      <c r="F20" s="22"/>
      <c r="G20" s="22"/>
      <c r="I20" s="55" t="s">
        <v>177</v>
      </c>
      <c r="J20" s="55"/>
    </row>
    <row r="21" spans="1:11" x14ac:dyDescent="0.3">
      <c r="B21" s="34"/>
      <c r="C21" s="44"/>
      <c r="D21" s="29"/>
      <c r="E21" s="29"/>
      <c r="F21" s="22"/>
      <c r="G21" s="22"/>
      <c r="I21" s="121" t="s">
        <v>202</v>
      </c>
      <c r="J21" s="121"/>
      <c r="K21" s="121">
        <v>1050</v>
      </c>
    </row>
    <row r="22" spans="1:11" x14ac:dyDescent="0.3">
      <c r="B22" s="34" t="s">
        <v>85</v>
      </c>
      <c r="C22" s="118">
        <v>4200</v>
      </c>
      <c r="D22" s="52" t="s">
        <v>178</v>
      </c>
      <c r="E22" s="22" t="s">
        <v>171</v>
      </c>
      <c r="F22" s="115">
        <f>+(C20+C22+C25+C26+C24)</f>
        <v>34750</v>
      </c>
      <c r="G22" s="115">
        <f>+F22*1.15</f>
        <v>39962.5</v>
      </c>
      <c r="I22" s="121" t="s">
        <v>203</v>
      </c>
      <c r="J22" s="121"/>
      <c r="K22" s="121">
        <v>1050</v>
      </c>
    </row>
    <row r="23" spans="1:11" x14ac:dyDescent="0.3">
      <c r="B23" s="34" t="s">
        <v>151</v>
      </c>
      <c r="C23" s="29"/>
      <c r="D23" s="29"/>
      <c r="E23" s="29"/>
      <c r="F23" s="29"/>
      <c r="G23" s="29"/>
      <c r="I23" s="121" t="s">
        <v>204</v>
      </c>
      <c r="J23" s="121"/>
      <c r="K23" s="121">
        <v>1050</v>
      </c>
    </row>
    <row r="24" spans="1:11" x14ac:dyDescent="0.3">
      <c r="B24" s="34" t="s">
        <v>152</v>
      </c>
      <c r="C24" s="29"/>
      <c r="D24" s="152"/>
      <c r="E24" s="29"/>
      <c r="F24" s="29"/>
      <c r="G24" s="29"/>
      <c r="I24" s="121" t="s">
        <v>206</v>
      </c>
      <c r="J24" s="121"/>
      <c r="K24" s="121">
        <v>1050</v>
      </c>
    </row>
    <row r="25" spans="1:11" x14ac:dyDescent="0.3">
      <c r="B25" s="34" t="s">
        <v>153</v>
      </c>
      <c r="C25" s="118">
        <f>13*150</f>
        <v>1950</v>
      </c>
      <c r="D25" s="116" t="s">
        <v>283</v>
      </c>
      <c r="E25" t="s">
        <v>178</v>
      </c>
      <c r="G25" s="29"/>
      <c r="H25" s="46"/>
      <c r="K25">
        <f>SUM(K21:K24)</f>
        <v>4200</v>
      </c>
    </row>
    <row r="26" spans="1:11" x14ac:dyDescent="0.3">
      <c r="B26" s="34" t="s">
        <v>166</v>
      </c>
      <c r="C26" s="29"/>
      <c r="D26" s="161"/>
      <c r="E26" s="29"/>
      <c r="F26" s="29"/>
      <c r="G26" s="29"/>
      <c r="H26" s="29"/>
      <c r="I26" s="29"/>
    </row>
    <row r="27" spans="1:11" x14ac:dyDescent="0.3">
      <c r="B27" s="34"/>
      <c r="C27" s="117">
        <f>+C20-C22+C23-C24+C25+C26</f>
        <v>26350</v>
      </c>
      <c r="D27" s="22" t="s">
        <v>87</v>
      </c>
      <c r="E27" s="29"/>
      <c r="F27" s="29"/>
      <c r="G27" s="29"/>
      <c r="H27" s="117" t="s">
        <v>154</v>
      </c>
      <c r="I27" s="118"/>
    </row>
    <row r="28" spans="1:11" x14ac:dyDescent="0.3">
      <c r="B28" s="34"/>
      <c r="C28" s="29"/>
      <c r="D28" s="29"/>
      <c r="E28" s="29"/>
      <c r="F28" s="29"/>
      <c r="G28" s="29"/>
      <c r="H28" s="118" t="s">
        <v>155</v>
      </c>
      <c r="I28" s="119"/>
      <c r="J28" s="120"/>
    </row>
    <row r="29" spans="1:11" x14ac:dyDescent="0.3">
      <c r="B29" s="47" t="s">
        <v>84</v>
      </c>
      <c r="C29" s="29"/>
      <c r="D29" s="29"/>
      <c r="E29" s="29"/>
      <c r="F29" s="29"/>
      <c r="G29" s="29"/>
      <c r="H29" s="118" t="s">
        <v>156</v>
      </c>
      <c r="I29" s="119"/>
    </row>
    <row r="30" spans="1:11" x14ac:dyDescent="0.3">
      <c r="B30" s="121" t="s">
        <v>202</v>
      </c>
      <c r="C30" s="121">
        <v>1050</v>
      </c>
      <c r="D30" s="22"/>
      <c r="E30" s="29"/>
      <c r="F30" s="29"/>
      <c r="G30" s="29"/>
      <c r="H30" s="118" t="s">
        <v>157</v>
      </c>
      <c r="I30" s="119">
        <f>+I28-I29</f>
        <v>0</v>
      </c>
    </row>
    <row r="31" spans="1:11" x14ac:dyDescent="0.3">
      <c r="B31" s="121" t="s">
        <v>203</v>
      </c>
      <c r="C31" s="121">
        <v>1050</v>
      </c>
      <c r="D31" s="22"/>
      <c r="E31" s="29"/>
      <c r="F31" s="31"/>
      <c r="G31" s="31"/>
      <c r="H31" s="31"/>
      <c r="I31" s="29">
        <f>459.66*1</f>
        <v>459.66</v>
      </c>
    </row>
    <row r="32" spans="1:11" x14ac:dyDescent="0.3">
      <c r="B32" s="121" t="s">
        <v>204</v>
      </c>
      <c r="C32" s="121">
        <v>1050</v>
      </c>
      <c r="D32" s="22"/>
      <c r="E32" s="29"/>
      <c r="F32" s="29"/>
      <c r="G32" s="29"/>
      <c r="H32" s="29"/>
      <c r="I32" s="29"/>
    </row>
    <row r="33" spans="2:9" x14ac:dyDescent="0.3">
      <c r="B33" s="121" t="s">
        <v>205</v>
      </c>
      <c r="C33" s="121">
        <v>1050</v>
      </c>
      <c r="D33" s="22"/>
      <c r="E33" s="29"/>
      <c r="F33" s="29"/>
      <c r="G33" s="29"/>
      <c r="H33" s="29"/>
      <c r="I33" s="29"/>
    </row>
    <row r="34" spans="2:9" x14ac:dyDescent="0.3">
      <c r="B34" s="121"/>
      <c r="C34" s="122">
        <f>SUM(C30:C33)</f>
        <v>4200</v>
      </c>
      <c r="D34" s="29"/>
      <c r="E34" s="29"/>
      <c r="F34" s="29"/>
      <c r="G34" s="29"/>
      <c r="H34" s="29"/>
      <c r="I34" s="29"/>
    </row>
    <row r="35" spans="2:9" x14ac:dyDescent="0.3">
      <c r="B35" s="47" t="s">
        <v>158</v>
      </c>
      <c r="C35" s="29"/>
      <c r="E35" s="29"/>
      <c r="F35" s="29"/>
      <c r="G35" s="29"/>
    </row>
    <row r="36" spans="2:9" x14ac:dyDescent="0.3">
      <c r="B36" s="55" t="s">
        <v>254</v>
      </c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B0DCC-3225-4356-8623-5B05CC4F6B89}">
  <sheetPr>
    <tabColor theme="5" tint="0.39997558519241921"/>
  </sheetPr>
  <dimension ref="A4:K32"/>
  <sheetViews>
    <sheetView topLeftCell="A4" workbookViewId="0">
      <selection activeCell="D25" sqref="D25"/>
    </sheetView>
  </sheetViews>
  <sheetFormatPr defaultRowHeight="14.4" x14ac:dyDescent="0.3"/>
  <cols>
    <col min="2" max="2" width="30.6640625" bestFit="1" customWidth="1"/>
    <col min="4" max="4" width="16.109375" bestFit="1" customWidth="1"/>
    <col min="5" max="5" width="12" customWidth="1"/>
    <col min="6" max="6" width="12.109375" customWidth="1"/>
    <col min="8" max="8" width="24.5546875" bestFit="1" customWidth="1"/>
    <col min="9" max="9" width="19.6640625" customWidth="1"/>
    <col min="10" max="10" width="35.109375" customWidth="1"/>
    <col min="11" max="11" width="8.88671875" customWidth="1"/>
  </cols>
  <sheetData>
    <row r="4" spans="1:10" x14ac:dyDescent="0.3">
      <c r="H4" s="251"/>
    </row>
    <row r="5" spans="1:10" x14ac:dyDescent="0.3">
      <c r="B5" s="33" t="s">
        <v>83</v>
      </c>
      <c r="C5" s="44"/>
      <c r="D5" s="44" t="s">
        <v>78</v>
      </c>
      <c r="F5" s="52"/>
      <c r="G5" s="52"/>
      <c r="H5" s="251" t="s">
        <v>343</v>
      </c>
    </row>
    <row r="6" spans="1:10" x14ac:dyDescent="0.3">
      <c r="A6">
        <v>1</v>
      </c>
      <c r="B6" s="131" t="s">
        <v>289</v>
      </c>
      <c r="C6">
        <v>2200</v>
      </c>
      <c r="D6" s="29" t="s">
        <v>207</v>
      </c>
      <c r="E6" s="52"/>
      <c r="F6" s="52"/>
      <c r="G6" s="52">
        <v>1</v>
      </c>
      <c r="H6" s="279" t="s">
        <v>289</v>
      </c>
      <c r="J6" s="52" t="s">
        <v>149</v>
      </c>
    </row>
    <row r="7" spans="1:10" x14ac:dyDescent="0.3">
      <c r="A7">
        <v>2</v>
      </c>
      <c r="B7" s="132" t="s">
        <v>290</v>
      </c>
      <c r="C7">
        <v>2200</v>
      </c>
      <c r="D7" s="29" t="s">
        <v>207</v>
      </c>
      <c r="E7" s="52"/>
      <c r="F7" s="52"/>
      <c r="G7" s="52">
        <v>2</v>
      </c>
      <c r="H7" s="280" t="s">
        <v>290</v>
      </c>
    </row>
    <row r="8" spans="1:10" x14ac:dyDescent="0.3">
      <c r="A8">
        <v>3</v>
      </c>
      <c r="B8" s="131" t="s">
        <v>291</v>
      </c>
      <c r="C8">
        <v>2200</v>
      </c>
      <c r="D8" s="29" t="s">
        <v>207</v>
      </c>
      <c r="E8" s="52"/>
      <c r="F8" s="52"/>
      <c r="G8" s="52">
        <v>3</v>
      </c>
      <c r="H8" s="279" t="s">
        <v>291</v>
      </c>
      <c r="J8" s="70" t="s">
        <v>169</v>
      </c>
    </row>
    <row r="9" spans="1:10" x14ac:dyDescent="0.3">
      <c r="A9">
        <v>4</v>
      </c>
      <c r="B9" s="131" t="s">
        <v>292</v>
      </c>
      <c r="C9">
        <v>2200</v>
      </c>
      <c r="D9" s="29" t="s">
        <v>207</v>
      </c>
      <c r="E9" s="52"/>
      <c r="F9" s="52"/>
      <c r="G9" s="52">
        <v>4</v>
      </c>
      <c r="H9" s="279" t="s">
        <v>292</v>
      </c>
      <c r="J9" s="70" t="s">
        <v>170</v>
      </c>
    </row>
    <row r="10" spans="1:10" x14ac:dyDescent="0.3">
      <c r="A10">
        <v>5</v>
      </c>
      <c r="B10" s="131" t="s">
        <v>293</v>
      </c>
      <c r="C10">
        <v>2200</v>
      </c>
      <c r="D10" s="29" t="s">
        <v>207</v>
      </c>
      <c r="E10" s="52"/>
      <c r="F10" s="52"/>
      <c r="G10" s="52">
        <v>5</v>
      </c>
      <c r="H10" s="279" t="s">
        <v>293</v>
      </c>
    </row>
    <row r="11" spans="1:10" x14ac:dyDescent="0.3">
      <c r="A11">
        <v>6</v>
      </c>
      <c r="B11" s="131" t="s">
        <v>294</v>
      </c>
      <c r="C11">
        <v>2200</v>
      </c>
      <c r="D11" s="29" t="s">
        <v>207</v>
      </c>
      <c r="E11" s="52"/>
      <c r="F11" s="52"/>
      <c r="G11" s="52">
        <v>6</v>
      </c>
      <c r="H11" s="279" t="s">
        <v>294</v>
      </c>
      <c r="J11" s="70" t="s">
        <v>150</v>
      </c>
    </row>
    <row r="12" spans="1:10" x14ac:dyDescent="0.3">
      <c r="A12">
        <v>7</v>
      </c>
      <c r="B12" s="131" t="s">
        <v>295</v>
      </c>
      <c r="C12">
        <v>2200</v>
      </c>
      <c r="D12" s="29" t="s">
        <v>207</v>
      </c>
      <c r="E12" s="52"/>
      <c r="F12" s="52"/>
      <c r="G12" s="52">
        <v>7</v>
      </c>
      <c r="H12" s="279" t="s">
        <v>295</v>
      </c>
      <c r="I12" s="29"/>
    </row>
    <row r="13" spans="1:10" x14ac:dyDescent="0.3">
      <c r="A13">
        <v>8</v>
      </c>
      <c r="B13" s="131" t="s">
        <v>296</v>
      </c>
      <c r="C13">
        <v>2200</v>
      </c>
      <c r="D13" s="29" t="s">
        <v>207</v>
      </c>
      <c r="E13" s="52"/>
      <c r="F13" s="52"/>
      <c r="G13" s="52">
        <v>8</v>
      </c>
      <c r="H13" s="279" t="s">
        <v>296</v>
      </c>
      <c r="I13" s="29"/>
    </row>
    <row r="14" spans="1:10" x14ac:dyDescent="0.3">
      <c r="A14">
        <v>9</v>
      </c>
      <c r="B14" s="131" t="s">
        <v>297</v>
      </c>
      <c r="C14">
        <v>2200</v>
      </c>
      <c r="D14" s="29" t="s">
        <v>207</v>
      </c>
      <c r="E14" s="52"/>
      <c r="F14" s="52"/>
      <c r="G14" s="52">
        <v>9</v>
      </c>
      <c r="H14" s="279" t="s">
        <v>297</v>
      </c>
      <c r="I14" s="29"/>
    </row>
    <row r="15" spans="1:10" x14ac:dyDescent="0.3">
      <c r="A15">
        <v>10</v>
      </c>
      <c r="B15" s="131" t="s">
        <v>297</v>
      </c>
      <c r="C15">
        <v>2200</v>
      </c>
      <c r="D15" s="29" t="s">
        <v>207</v>
      </c>
      <c r="E15" s="52"/>
      <c r="F15" s="52"/>
      <c r="G15" s="52">
        <v>10</v>
      </c>
      <c r="H15" s="279" t="s">
        <v>297</v>
      </c>
      <c r="I15" s="29">
        <f>10*2200</f>
        <v>22000</v>
      </c>
      <c r="J15" t="s">
        <v>344</v>
      </c>
    </row>
    <row r="16" spans="1:10" x14ac:dyDescent="0.3">
      <c r="B16" s="114"/>
      <c r="C16" s="45">
        <f>SUM(C6:C15)</f>
        <v>22000</v>
      </c>
      <c r="D16" s="29" t="s">
        <v>86</v>
      </c>
      <c r="E16" s="29" t="s">
        <v>178</v>
      </c>
      <c r="F16" s="22"/>
      <c r="G16" s="22"/>
      <c r="H16" s="281">
        <f>10*150</f>
        <v>1500</v>
      </c>
      <c r="I16" s="22" t="s">
        <v>342</v>
      </c>
    </row>
    <row r="17" spans="2:11" x14ac:dyDescent="0.3">
      <c r="B17" s="34"/>
      <c r="C17" s="29"/>
      <c r="D17" s="29"/>
      <c r="E17" s="29"/>
      <c r="F17" s="22"/>
      <c r="G17" s="22"/>
      <c r="H17" s="46"/>
    </row>
    <row r="18" spans="2:11" x14ac:dyDescent="0.3">
      <c r="B18" s="34" t="s">
        <v>85</v>
      </c>
      <c r="C18" s="118">
        <v>4200</v>
      </c>
      <c r="D18" s="52" t="s">
        <v>178</v>
      </c>
      <c r="E18" s="22" t="s">
        <v>171</v>
      </c>
      <c r="F18" s="115">
        <f>+(C16+C18+C21+C22+C20)</f>
        <v>27700</v>
      </c>
      <c r="G18" s="115">
        <f>+F18*1.15</f>
        <v>31854.999999999996</v>
      </c>
      <c r="H18" s="29"/>
      <c r="I18" s="29"/>
    </row>
    <row r="19" spans="2:11" x14ac:dyDescent="0.3">
      <c r="B19" s="34" t="s">
        <v>151</v>
      </c>
      <c r="C19" s="29"/>
      <c r="D19" s="29"/>
      <c r="E19" s="29"/>
      <c r="F19" s="29"/>
      <c r="G19" s="29"/>
      <c r="H19" s="46"/>
      <c r="I19" s="29"/>
      <c r="J19" s="55" t="s">
        <v>212</v>
      </c>
      <c r="K19" s="55"/>
    </row>
    <row r="20" spans="2:11" x14ac:dyDescent="0.3">
      <c r="B20" s="34" t="s">
        <v>152</v>
      </c>
      <c r="C20" s="29"/>
      <c r="D20" s="152"/>
      <c r="E20" s="29"/>
      <c r="F20" s="29"/>
      <c r="G20" s="29"/>
      <c r="H20" s="46"/>
      <c r="I20" s="29"/>
      <c r="J20" s="121" t="s">
        <v>208</v>
      </c>
      <c r="K20" s="121">
        <v>1050</v>
      </c>
    </row>
    <row r="21" spans="2:11" x14ac:dyDescent="0.3">
      <c r="B21" s="34" t="s">
        <v>153</v>
      </c>
      <c r="C21" s="118">
        <f>10*150</f>
        <v>1500</v>
      </c>
      <c r="D21" s="116" t="s">
        <v>298</v>
      </c>
      <c r="E21" t="s">
        <v>178</v>
      </c>
      <c r="G21" s="29"/>
      <c r="H21" s="46"/>
      <c r="J21" s="121" t="s">
        <v>209</v>
      </c>
      <c r="K21" s="121">
        <v>1050</v>
      </c>
    </row>
    <row r="22" spans="2:11" x14ac:dyDescent="0.3">
      <c r="B22" s="34" t="s">
        <v>166</v>
      </c>
      <c r="C22" s="29">
        <v>0</v>
      </c>
      <c r="D22" s="161"/>
      <c r="E22" s="29"/>
      <c r="F22" s="29"/>
      <c r="G22" s="29"/>
      <c r="H22" s="29"/>
      <c r="I22" s="29"/>
      <c r="J22" s="121" t="s">
        <v>210</v>
      </c>
      <c r="K22" s="121">
        <v>1050</v>
      </c>
    </row>
    <row r="23" spans="2:11" x14ac:dyDescent="0.3">
      <c r="B23" s="34"/>
      <c r="C23" s="246">
        <f>+C16-C18+C21+C22-C20</f>
        <v>19300</v>
      </c>
      <c r="D23" s="22" t="s">
        <v>87</v>
      </c>
      <c r="E23" s="29"/>
      <c r="F23" s="29"/>
      <c r="G23" s="118"/>
      <c r="H23" s="117" t="s">
        <v>154</v>
      </c>
      <c r="I23" s="118"/>
      <c r="J23" s="121" t="s">
        <v>213</v>
      </c>
      <c r="K23" s="121">
        <v>1050</v>
      </c>
    </row>
    <row r="24" spans="2:11" x14ac:dyDescent="0.3">
      <c r="B24" s="34"/>
      <c r="C24" s="29"/>
      <c r="D24" s="29"/>
      <c r="E24" s="29"/>
      <c r="F24" s="29"/>
      <c r="G24" s="118"/>
      <c r="H24" s="118" t="s">
        <v>155</v>
      </c>
      <c r="I24" s="119"/>
      <c r="J24" s="55"/>
      <c r="K24" s="55">
        <f>SUM(K19:K23)</f>
        <v>4200</v>
      </c>
    </row>
    <row r="25" spans="2:11" x14ac:dyDescent="0.3">
      <c r="B25" s="47" t="s">
        <v>84</v>
      </c>
      <c r="C25" s="29"/>
      <c r="D25" s="29"/>
      <c r="E25" s="29"/>
      <c r="F25" s="29"/>
      <c r="G25" s="118"/>
      <c r="H25" s="118" t="s">
        <v>156</v>
      </c>
      <c r="I25" s="119"/>
    </row>
    <row r="26" spans="2:11" x14ac:dyDescent="0.3">
      <c r="B26" s="121" t="s">
        <v>208</v>
      </c>
      <c r="C26" s="121">
        <v>1050</v>
      </c>
      <c r="D26" s="29"/>
      <c r="E26" s="29"/>
      <c r="F26" s="29"/>
      <c r="G26" s="118"/>
      <c r="H26" s="118" t="s">
        <v>157</v>
      </c>
      <c r="I26" s="119">
        <f>+I24-I25</f>
        <v>0</v>
      </c>
    </row>
    <row r="27" spans="2:11" x14ac:dyDescent="0.3">
      <c r="B27" s="121" t="s">
        <v>209</v>
      </c>
      <c r="C27" s="121">
        <v>1050</v>
      </c>
      <c r="D27" s="29"/>
      <c r="E27" s="29"/>
      <c r="F27" s="31"/>
      <c r="G27" s="31"/>
      <c r="H27" s="31"/>
      <c r="I27" s="29">
        <f>459.66*1</f>
        <v>459.66</v>
      </c>
    </row>
    <row r="28" spans="2:11" x14ac:dyDescent="0.3">
      <c r="B28" s="121" t="s">
        <v>210</v>
      </c>
      <c r="C28" s="121">
        <v>1050</v>
      </c>
      <c r="D28" s="29"/>
      <c r="E28" s="29"/>
      <c r="F28" s="29"/>
      <c r="G28" s="29"/>
      <c r="H28" s="29"/>
      <c r="I28" s="29"/>
    </row>
    <row r="29" spans="2:11" x14ac:dyDescent="0.3">
      <c r="B29" s="121" t="s">
        <v>211</v>
      </c>
      <c r="C29" s="121">
        <v>1050</v>
      </c>
      <c r="D29" s="22"/>
      <c r="E29" s="29"/>
      <c r="F29" s="29"/>
      <c r="G29" s="29"/>
      <c r="H29" s="29"/>
      <c r="I29" s="29"/>
    </row>
    <row r="30" spans="2:11" x14ac:dyDescent="0.3">
      <c r="B30" s="121"/>
      <c r="C30" s="122">
        <f>SUM(C26:C29)</f>
        <v>4200</v>
      </c>
      <c r="D30" s="29"/>
      <c r="E30" s="29"/>
      <c r="F30" s="29"/>
      <c r="G30" s="29"/>
      <c r="J30" s="55"/>
    </row>
    <row r="31" spans="2:11" x14ac:dyDescent="0.3">
      <c r="B31" s="47" t="s">
        <v>158</v>
      </c>
      <c r="C31" s="29"/>
      <c r="E31" s="29"/>
      <c r="F31" s="29"/>
      <c r="G31" s="29"/>
      <c r="J31" s="55"/>
    </row>
    <row r="32" spans="2:11" x14ac:dyDescent="0.3">
      <c r="B32" s="55" t="s">
        <v>176</v>
      </c>
      <c r="J32" s="55"/>
    </row>
  </sheetData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54C1D-0433-45FE-97DD-73436FEDE1D1}">
  <sheetPr>
    <tabColor theme="5" tint="0.39997558519241921"/>
  </sheetPr>
  <dimension ref="A3:O27"/>
  <sheetViews>
    <sheetView topLeftCell="A4" workbookViewId="0">
      <selection activeCell="D16" sqref="D16"/>
    </sheetView>
  </sheetViews>
  <sheetFormatPr defaultRowHeight="14.4" x14ac:dyDescent="0.3"/>
  <cols>
    <col min="2" max="2" width="30.6640625" bestFit="1" customWidth="1"/>
    <col min="4" max="4" width="16.109375" bestFit="1" customWidth="1"/>
    <col min="5" max="5" width="12" customWidth="1"/>
    <col min="6" max="6" width="12.109375" customWidth="1"/>
    <col min="8" max="8" width="24.5546875" bestFit="1" customWidth="1"/>
    <col min="9" max="9" width="19.6640625" customWidth="1"/>
    <col min="11" max="11" width="8.88671875" customWidth="1"/>
  </cols>
  <sheetData>
    <row r="3" spans="1:15" x14ac:dyDescent="0.3">
      <c r="O3" s="52" t="s">
        <v>149</v>
      </c>
    </row>
    <row r="4" spans="1:15" x14ac:dyDescent="0.3">
      <c r="H4" t="s">
        <v>343</v>
      </c>
      <c r="O4" s="70" t="s">
        <v>150</v>
      </c>
    </row>
    <row r="5" spans="1:15" x14ac:dyDescent="0.3">
      <c r="B5" s="33" t="s">
        <v>83</v>
      </c>
      <c r="C5" s="44"/>
      <c r="D5" s="44" t="s">
        <v>78</v>
      </c>
      <c r="F5" s="52"/>
      <c r="G5" s="52">
        <v>1</v>
      </c>
      <c r="H5" s="279" t="s">
        <v>338</v>
      </c>
      <c r="I5">
        <v>2200</v>
      </c>
      <c r="O5" s="70" t="s">
        <v>169</v>
      </c>
    </row>
    <row r="6" spans="1:15" x14ac:dyDescent="0.3">
      <c r="A6">
        <v>1</v>
      </c>
      <c r="B6" s="131" t="s">
        <v>338</v>
      </c>
      <c r="C6">
        <v>2200</v>
      </c>
      <c r="D6" s="29" t="s">
        <v>341</v>
      </c>
      <c r="E6" s="52"/>
      <c r="F6" s="52"/>
      <c r="G6" s="52">
        <v>2</v>
      </c>
      <c r="H6" s="279" t="s">
        <v>338</v>
      </c>
      <c r="I6">
        <v>2200</v>
      </c>
      <c r="O6" s="70" t="s">
        <v>170</v>
      </c>
    </row>
    <row r="7" spans="1:15" x14ac:dyDescent="0.3">
      <c r="A7">
        <v>2</v>
      </c>
      <c r="B7" s="131" t="s">
        <v>338</v>
      </c>
      <c r="C7">
        <v>2200</v>
      </c>
      <c r="D7" s="29" t="s">
        <v>341</v>
      </c>
      <c r="E7" s="52"/>
      <c r="F7" s="52"/>
      <c r="G7" s="52"/>
      <c r="H7" s="157">
        <f>2*150</f>
        <v>300</v>
      </c>
      <c r="I7" s="157" t="s">
        <v>342</v>
      </c>
    </row>
    <row r="8" spans="1:15" x14ac:dyDescent="0.3">
      <c r="B8" s="114"/>
      <c r="C8" s="45">
        <f>SUM(C6:C7)</f>
        <v>4400</v>
      </c>
      <c r="D8" s="29" t="s">
        <v>86</v>
      </c>
      <c r="E8" s="29"/>
      <c r="F8" s="22"/>
      <c r="G8" s="22"/>
      <c r="H8" s="115"/>
      <c r="I8" s="22"/>
    </row>
    <row r="9" spans="1:15" x14ac:dyDescent="0.3">
      <c r="B9" s="34"/>
      <c r="C9" s="29"/>
      <c r="D9" s="29"/>
      <c r="E9" s="29"/>
      <c r="F9" s="22"/>
      <c r="G9" s="22"/>
      <c r="H9" s="46" t="s">
        <v>212</v>
      </c>
    </row>
    <row r="10" spans="1:15" x14ac:dyDescent="0.3">
      <c r="B10" s="34" t="s">
        <v>85</v>
      </c>
      <c r="C10" s="118">
        <v>900</v>
      </c>
      <c r="D10" s="52"/>
      <c r="E10" s="22" t="s">
        <v>171</v>
      </c>
      <c r="F10" s="115">
        <f>+(C8+C10+C13+C14+C12)</f>
        <v>5600</v>
      </c>
      <c r="G10" s="115">
        <f>+F10*1.15</f>
        <v>6439.9999999999991</v>
      </c>
      <c r="H10" s="109" t="s">
        <v>340</v>
      </c>
      <c r="I10" s="109">
        <v>900</v>
      </c>
    </row>
    <row r="11" spans="1:15" x14ac:dyDescent="0.3">
      <c r="B11" s="34" t="s">
        <v>151</v>
      </c>
      <c r="C11" s="29"/>
      <c r="D11" s="29"/>
      <c r="E11" s="29"/>
      <c r="F11" s="29"/>
      <c r="G11" s="29"/>
      <c r="H11" s="46"/>
      <c r="I11" s="29"/>
    </row>
    <row r="12" spans="1:15" x14ac:dyDescent="0.3">
      <c r="B12" s="34" t="s">
        <v>152</v>
      </c>
      <c r="C12" s="29"/>
      <c r="D12" s="152"/>
      <c r="E12" s="29"/>
      <c r="F12" s="29"/>
      <c r="G12" s="29"/>
      <c r="H12" s="46"/>
      <c r="I12" s="29"/>
    </row>
    <row r="13" spans="1:15" x14ac:dyDescent="0.3">
      <c r="B13" s="34" t="s">
        <v>153</v>
      </c>
      <c r="C13" s="118">
        <f>2*150</f>
        <v>300</v>
      </c>
      <c r="D13" s="116" t="s">
        <v>339</v>
      </c>
      <c r="E13" t="s">
        <v>178</v>
      </c>
      <c r="G13" s="29"/>
      <c r="H13" s="46"/>
    </row>
    <row r="14" spans="1:15" x14ac:dyDescent="0.3">
      <c r="B14" s="34" t="s">
        <v>166</v>
      </c>
      <c r="C14" s="29">
        <v>0</v>
      </c>
      <c r="D14" s="161"/>
      <c r="E14" s="29"/>
      <c r="F14" s="29"/>
      <c r="G14" s="29"/>
      <c r="H14" s="29"/>
      <c r="I14" s="29"/>
    </row>
    <row r="15" spans="1:15" x14ac:dyDescent="0.3">
      <c r="B15" s="34"/>
      <c r="C15" s="246">
        <f>+C8-C10+C13+C14-C12</f>
        <v>3800</v>
      </c>
      <c r="D15" s="22" t="s">
        <v>87</v>
      </c>
      <c r="E15" s="29"/>
      <c r="F15" s="29"/>
      <c r="G15" s="118"/>
      <c r="H15" s="117" t="s">
        <v>154</v>
      </c>
      <c r="I15" s="118"/>
    </row>
    <row r="16" spans="1:15" x14ac:dyDescent="0.3">
      <c r="B16" s="34"/>
      <c r="C16" s="29"/>
      <c r="D16" s="29"/>
      <c r="E16" s="29"/>
      <c r="F16" s="29"/>
      <c r="G16" s="118"/>
      <c r="H16" s="118" t="s">
        <v>155</v>
      </c>
      <c r="I16" s="119"/>
      <c r="J16" s="120"/>
    </row>
    <row r="17" spans="2:9" x14ac:dyDescent="0.3">
      <c r="B17" s="47" t="s">
        <v>84</v>
      </c>
      <c r="C17" s="29"/>
      <c r="D17" s="29"/>
      <c r="E17" s="29"/>
      <c r="F17" s="29"/>
      <c r="G17" s="118"/>
      <c r="H17" s="118" t="s">
        <v>156</v>
      </c>
      <c r="I17" s="119"/>
    </row>
    <row r="18" spans="2:9" x14ac:dyDescent="0.3">
      <c r="B18" s="121" t="s">
        <v>340</v>
      </c>
      <c r="C18" s="121">
        <v>900</v>
      </c>
      <c r="D18" s="29"/>
      <c r="E18" s="29"/>
      <c r="F18" s="29"/>
      <c r="G18" s="118"/>
      <c r="H18" s="118" t="s">
        <v>157</v>
      </c>
      <c r="I18" s="119">
        <f>+I16-I17</f>
        <v>0</v>
      </c>
    </row>
    <row r="19" spans="2:9" x14ac:dyDescent="0.3">
      <c r="B19" s="121"/>
      <c r="C19" s="121"/>
      <c r="D19" s="29"/>
      <c r="E19" s="29"/>
      <c r="F19" s="31"/>
      <c r="G19" s="31"/>
      <c r="H19" s="31"/>
      <c r="I19" s="29">
        <f>459.66*1</f>
        <v>459.66</v>
      </c>
    </row>
    <row r="20" spans="2:9" x14ac:dyDescent="0.3">
      <c r="B20" s="121"/>
      <c r="C20" s="121"/>
      <c r="D20" s="29"/>
      <c r="E20" s="29"/>
      <c r="F20" s="29"/>
      <c r="G20" s="29"/>
      <c r="H20" s="29"/>
      <c r="I20" s="29"/>
    </row>
    <row r="21" spans="2:9" x14ac:dyDescent="0.3">
      <c r="B21" s="121"/>
      <c r="C21" s="121"/>
      <c r="D21" s="22"/>
      <c r="E21" s="29"/>
      <c r="F21" s="29"/>
      <c r="G21" s="29"/>
      <c r="H21" s="29"/>
      <c r="I21" s="29"/>
    </row>
    <row r="22" spans="2:9" x14ac:dyDescent="0.3">
      <c r="B22" s="121"/>
      <c r="C22" s="122">
        <f>SUM(C18:C21)</f>
        <v>900</v>
      </c>
      <c r="D22" s="29" t="s">
        <v>178</v>
      </c>
      <c r="E22" s="29"/>
      <c r="F22" s="29"/>
      <c r="G22" s="29"/>
      <c r="H22" s="29"/>
      <c r="I22" s="29"/>
    </row>
    <row r="23" spans="2:9" x14ac:dyDescent="0.3">
      <c r="B23" s="47" t="s">
        <v>158</v>
      </c>
      <c r="C23" s="29"/>
      <c r="E23" s="29"/>
      <c r="F23" s="29"/>
      <c r="G23" s="29"/>
      <c r="H23" s="29"/>
      <c r="I23" s="29"/>
    </row>
    <row r="24" spans="2:9" x14ac:dyDescent="0.3">
      <c r="B24" s="55" t="s">
        <v>345</v>
      </c>
      <c r="G24" s="29"/>
      <c r="H24" s="29"/>
      <c r="I24" s="29"/>
    </row>
    <row r="25" spans="2:9" x14ac:dyDescent="0.3">
      <c r="G25" s="29"/>
      <c r="H25" s="29"/>
      <c r="I25" s="29"/>
    </row>
    <row r="26" spans="2:9" x14ac:dyDescent="0.3">
      <c r="G26" s="29"/>
      <c r="H26" s="29"/>
      <c r="I26" s="29"/>
    </row>
    <row r="27" spans="2:9" x14ac:dyDescent="0.3">
      <c r="G27" s="29"/>
      <c r="H27" s="29"/>
      <c r="I27" s="29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6A6BB9E3C694D8900A5DF4C13068E" ma:contentTypeVersion="13" ma:contentTypeDescription="Create a new document." ma:contentTypeScope="" ma:versionID="a10980388dee18fa3b180818d37ef2ce">
  <xsd:schema xmlns:xsd="http://www.w3.org/2001/XMLSchema" xmlns:xs="http://www.w3.org/2001/XMLSchema" xmlns:p="http://schemas.microsoft.com/office/2006/metadata/properties" xmlns:ns2="75f5bbd8-0dce-4530-8300-280ca949f416" xmlns:ns3="55a2e435-789e-45d1-b381-7a305d72365b" targetNamespace="http://schemas.microsoft.com/office/2006/metadata/properties" ma:root="true" ma:fieldsID="c5483f3d2c7d3da88b9034e471f991fc" ns2:_="" ns3:_="">
    <xsd:import namespace="75f5bbd8-0dce-4530-8300-280ca949f416"/>
    <xsd:import namespace="55a2e435-789e-45d1-b381-7a305d7236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5bbd8-0dce-4530-8300-280ca949f4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7997be0-80b1-409f-9447-64db1f4012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a2e435-789e-45d1-b381-7a305d72365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0fd830d-8094-43d0-8063-70073274434e}" ma:internalName="TaxCatchAll" ma:showField="CatchAllData" ma:web="55a2e435-789e-45d1-b381-7a305d7236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f5bbd8-0dce-4530-8300-280ca949f416">
      <Terms xmlns="http://schemas.microsoft.com/office/infopath/2007/PartnerControls"/>
    </lcf76f155ced4ddcb4097134ff3c332f>
    <TaxCatchAll xmlns="55a2e435-789e-45d1-b381-7a305d72365b" xsi:nil="true"/>
  </documentManagement>
</p:properties>
</file>

<file path=customXml/itemProps1.xml><?xml version="1.0" encoding="utf-8"?>
<ds:datastoreItem xmlns:ds="http://schemas.openxmlformats.org/officeDocument/2006/customXml" ds:itemID="{710BC7B0-BEC5-4C4C-9734-D7CB4EB211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5bbd8-0dce-4530-8300-280ca949f416"/>
    <ds:schemaRef ds:uri="55a2e435-789e-45d1-b381-7a305d7236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BF395A-78A8-4CAD-B9BD-B160323D75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16726-AC10-44A8-9770-F49F5E40093B}">
  <ds:schemaRefs>
    <ds:schemaRef ds:uri="http://schemas.microsoft.com/office/2006/metadata/properties"/>
    <ds:schemaRef ds:uri="http://schemas.microsoft.com/office/infopath/2007/PartnerControls"/>
    <ds:schemaRef ds:uri="75f5bbd8-0dce-4530-8300-280ca949f416"/>
    <ds:schemaRef ds:uri="55a2e435-789e-45d1-b381-7a305d72365b"/>
    <ds:schemaRef ds:uri="8e68a0e9-0bf0-4ee5-be77-8c6f37d5e20b"/>
    <ds:schemaRef ds:uri="68b6994d-b1f2-42ee-a655-8b276619a50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SUMMARY</vt:lpstr>
      <vt:lpstr>Aviwe Hoza - TRIBAL</vt:lpstr>
      <vt:lpstr>Ayabulela Mdingi - TRIBAL</vt:lpstr>
      <vt:lpstr>Pieter Hendrikcs</vt:lpstr>
      <vt:lpstr>Randall Bosch</vt:lpstr>
      <vt:lpstr>Johny Jacobs</vt:lpstr>
      <vt:lpstr>Simon Tshidiso Sethunya</vt:lpstr>
      <vt:lpstr>Freek Boss</vt:lpstr>
      <vt:lpstr>Resty Hollander</vt:lpstr>
      <vt:lpstr>Kliffet Williams</vt:lpstr>
      <vt:lpstr>Samuel Domingo</vt:lpstr>
      <vt:lpstr>David Mohapeloa</vt:lpstr>
      <vt:lpstr>Phikane Matiwane</vt:lpstr>
      <vt:lpstr>Miguel Maseka</vt:lpstr>
      <vt:lpstr>Andries Moitsemang Mathe</vt:lpstr>
      <vt:lpstr>Stoffel Sefadi</vt:lpstr>
      <vt:lpstr>Samuel Mmotsi</vt:lpstr>
      <vt:lpstr>Job Dimengu</vt:lpstr>
      <vt:lpstr>Simon Ndlala</vt:lpstr>
      <vt:lpstr>Sam Mahlamba</vt:lpstr>
      <vt:lpstr>Subisiso Silomo</vt:lpstr>
      <vt:lpstr>Papilon Ruwatira Tapiwa</vt:lpstr>
      <vt:lpstr>Abongile Mana</vt:lpstr>
      <vt:lpstr>Roy Setlhare</vt:lpstr>
      <vt:lpstr>L Kambinda</vt:lpstr>
      <vt:lpstr>JACKSON -Kgololo Joseph Mocwane</vt:lpstr>
      <vt:lpstr>Petrus Jacobus pretoruis</vt:lpstr>
      <vt:lpstr> AUBRY Gaebidiwe</vt:lpstr>
      <vt:lpstr>GERALD CASUAL</vt:lpstr>
      <vt:lpstr>MASKITO CASUAL</vt:lpstr>
      <vt:lpstr>TUMISO CASUAL</vt:lpstr>
      <vt:lpstr>MATHEWS CASUAL</vt:lpstr>
      <vt:lpstr>ADRIAAN CASUAL</vt:lpstr>
      <vt:lpstr>GARTH CASUAL </vt:lpstr>
      <vt:lpstr>JERRY OBHI (BANDEYS) </vt:lpstr>
      <vt:lpstr>ZAMANI OBHI (BANDEYS)</vt:lpstr>
      <vt:lpstr>AMOS OBHI (BANDEYS)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Retha Van Der Berg</dc:creator>
  <cp:lastModifiedBy>Cora Koch</cp:lastModifiedBy>
  <cp:lastPrinted>2023-03-31T12:23:29Z</cp:lastPrinted>
  <dcterms:created xsi:type="dcterms:W3CDTF">2021-03-01T09:09:39Z</dcterms:created>
  <dcterms:modified xsi:type="dcterms:W3CDTF">2026-02-04T07:35:44Z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0x010100C596A6BB9E3C694D8900A5DF4C13068E</vt:lpwstr>
  </property>
  <property fmtid="{D5CDD505-2E9C-101B-9397-08002B2CF9AE}" pid="3" name="MediaServiceImageTags">
    <vt:lpwstr/>
  </property>
</Properties>
</file>